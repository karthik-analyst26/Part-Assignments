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rth\Downloads\"/>
    </mc:Choice>
  </mc:AlternateContent>
  <xr:revisionPtr revIDLastSave="0" documentId="13_ncr:1_{4D0EDAD3-F51C-49CD-9ECB-D348D033083E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Dataset" sheetId="3" r:id="rId1"/>
    <sheet name="Excel Assignment 2 – Data Explo" sheetId="4" r:id="rId2"/>
    <sheet name="Observation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3" i="4" l="1"/>
  <c r="H33" i="4"/>
  <c r="G33" i="4"/>
  <c r="E33" i="4"/>
  <c r="F33" i="4" s="1"/>
  <c r="D33" i="4"/>
  <c r="B33" i="4"/>
  <c r="A33" i="4"/>
  <c r="C33" i="4" s="1"/>
  <c r="I32" i="4"/>
  <c r="H32" i="4"/>
  <c r="G32" i="4"/>
  <c r="E32" i="4"/>
  <c r="F32" i="4" s="1"/>
  <c r="D32" i="4"/>
  <c r="C32" i="4"/>
  <c r="A32" i="4"/>
  <c r="B32" i="4" s="1"/>
  <c r="I31" i="4"/>
  <c r="H31" i="4"/>
  <c r="G31" i="4"/>
  <c r="F31" i="4"/>
  <c r="E31" i="4"/>
  <c r="D31" i="4"/>
  <c r="C31" i="4"/>
  <c r="B31" i="4"/>
  <c r="A31" i="4"/>
  <c r="I30" i="4"/>
  <c r="H30" i="4"/>
  <c r="G30" i="4"/>
  <c r="E30" i="4"/>
  <c r="F30" i="4" s="1"/>
  <c r="D30" i="4"/>
  <c r="C30" i="4"/>
  <c r="A30" i="4"/>
  <c r="B30" i="4" s="1"/>
  <c r="I29" i="4"/>
  <c r="H29" i="4"/>
  <c r="G29" i="4"/>
  <c r="F29" i="4"/>
  <c r="E29" i="4"/>
  <c r="D29" i="4"/>
  <c r="B29" i="4"/>
  <c r="A29" i="4"/>
  <c r="C29" i="4" s="1"/>
  <c r="I28" i="4"/>
  <c r="H28" i="4"/>
  <c r="G28" i="4"/>
  <c r="E28" i="4"/>
  <c r="F28" i="4" s="1"/>
  <c r="D28" i="4"/>
  <c r="C28" i="4"/>
  <c r="B28" i="4"/>
  <c r="A28" i="4"/>
  <c r="I27" i="4"/>
  <c r="H27" i="4"/>
  <c r="G27" i="4"/>
  <c r="F27" i="4"/>
  <c r="E27" i="4"/>
  <c r="D27" i="4"/>
  <c r="C27" i="4"/>
  <c r="B27" i="4"/>
  <c r="A27" i="4"/>
  <c r="I26" i="4"/>
  <c r="H26" i="4"/>
  <c r="G26" i="4"/>
  <c r="E26" i="4"/>
  <c r="F26" i="4" s="1"/>
  <c r="D26" i="4"/>
  <c r="C26" i="4"/>
  <c r="A26" i="4"/>
  <c r="B26" i="4" s="1"/>
  <c r="I25" i="4"/>
  <c r="H25" i="4"/>
  <c r="G25" i="4"/>
  <c r="E25" i="4"/>
  <c r="F25" i="4" s="1"/>
  <c r="D25" i="4"/>
  <c r="B25" i="4"/>
  <c r="A25" i="4"/>
  <c r="C25" i="4" s="1"/>
  <c r="I24" i="4"/>
  <c r="H24" i="4"/>
  <c r="G24" i="4"/>
  <c r="E24" i="4"/>
  <c r="F24" i="4" s="1"/>
  <c r="D24" i="4"/>
  <c r="C24" i="4"/>
  <c r="B24" i="4"/>
  <c r="A24" i="4"/>
  <c r="I23" i="4"/>
  <c r="H23" i="4"/>
  <c r="G23" i="4"/>
  <c r="F23" i="4"/>
  <c r="E23" i="4"/>
  <c r="D23" i="4"/>
  <c r="C23" i="4"/>
  <c r="B23" i="4"/>
  <c r="A23" i="4"/>
  <c r="I22" i="4"/>
  <c r="H22" i="4"/>
  <c r="G22" i="4"/>
  <c r="E22" i="4"/>
  <c r="F22" i="4" s="1"/>
  <c r="D22" i="4"/>
  <c r="C22" i="4"/>
  <c r="A22" i="4"/>
  <c r="B22" i="4" s="1"/>
  <c r="I21" i="4"/>
  <c r="H21" i="4"/>
  <c r="G21" i="4"/>
  <c r="E21" i="4"/>
  <c r="F21" i="4" s="1"/>
  <c r="D21" i="4"/>
  <c r="B21" i="4"/>
  <c r="A21" i="4"/>
  <c r="C21" i="4" s="1"/>
  <c r="I20" i="4"/>
  <c r="H20" i="4"/>
  <c r="G20" i="4"/>
  <c r="E20" i="4"/>
  <c r="F20" i="4" s="1"/>
  <c r="D20" i="4"/>
  <c r="C20" i="4"/>
  <c r="B20" i="4"/>
  <c r="A20" i="4"/>
  <c r="I19" i="4"/>
  <c r="H19" i="4"/>
  <c r="G19" i="4"/>
  <c r="F19" i="4"/>
  <c r="E19" i="4"/>
  <c r="D19" i="4"/>
  <c r="C19" i="4"/>
  <c r="B19" i="4"/>
  <c r="A19" i="4"/>
  <c r="I18" i="4"/>
  <c r="H18" i="4"/>
  <c r="G18" i="4"/>
  <c r="E18" i="4"/>
  <c r="F18" i="4" s="1"/>
  <c r="D18" i="4"/>
  <c r="C18" i="4"/>
  <c r="A18" i="4"/>
  <c r="B18" i="4" s="1"/>
  <c r="I17" i="4"/>
  <c r="H17" i="4"/>
  <c r="G17" i="4"/>
  <c r="E17" i="4"/>
  <c r="F17" i="4" s="1"/>
  <c r="D17" i="4"/>
  <c r="B17" i="4"/>
  <c r="A17" i="4"/>
  <c r="C17" i="4" s="1"/>
  <c r="I16" i="4"/>
  <c r="H16" i="4"/>
  <c r="G16" i="4"/>
  <c r="E16" i="4"/>
  <c r="F16" i="4" s="1"/>
  <c r="D16" i="4"/>
  <c r="C16" i="4"/>
  <c r="B16" i="4"/>
  <c r="A16" i="4"/>
  <c r="I15" i="4"/>
  <c r="H15" i="4"/>
  <c r="G15" i="4"/>
  <c r="F15" i="4"/>
  <c r="E15" i="4"/>
  <c r="D15" i="4"/>
  <c r="C15" i="4"/>
  <c r="B15" i="4"/>
  <c r="A15" i="4"/>
  <c r="I14" i="4"/>
  <c r="H14" i="4"/>
  <c r="G14" i="4"/>
  <c r="E14" i="4"/>
  <c r="F14" i="4" s="1"/>
  <c r="D14" i="4"/>
  <c r="C14" i="4"/>
  <c r="A14" i="4"/>
  <c r="B14" i="4" s="1"/>
  <c r="I13" i="4"/>
  <c r="H13" i="4"/>
  <c r="G13" i="4"/>
  <c r="E13" i="4"/>
  <c r="F13" i="4" s="1"/>
  <c r="D13" i="4"/>
  <c r="B13" i="4"/>
  <c r="A13" i="4"/>
  <c r="C13" i="4" s="1"/>
  <c r="I12" i="4"/>
  <c r="H12" i="4"/>
  <c r="G12" i="4"/>
  <c r="E12" i="4"/>
  <c r="F12" i="4" s="1"/>
  <c r="D12" i="4"/>
  <c r="C12" i="4"/>
  <c r="B12" i="4"/>
  <c r="A12" i="4"/>
  <c r="I11" i="4"/>
  <c r="H11" i="4"/>
  <c r="G11" i="4"/>
  <c r="F11" i="4"/>
  <c r="E11" i="4"/>
  <c r="D11" i="4"/>
  <c r="C11" i="4"/>
  <c r="B11" i="4"/>
  <c r="A11" i="4"/>
  <c r="I10" i="4"/>
  <c r="H10" i="4"/>
  <c r="G10" i="4"/>
  <c r="E10" i="4"/>
  <c r="F10" i="4" s="1"/>
  <c r="D10" i="4"/>
  <c r="C10" i="4"/>
  <c r="A10" i="4"/>
  <c r="B10" i="4" s="1"/>
  <c r="I9" i="4"/>
  <c r="H9" i="4"/>
  <c r="G9" i="4"/>
  <c r="E9" i="4"/>
  <c r="F9" i="4" s="1"/>
  <c r="D9" i="4"/>
  <c r="B9" i="4"/>
  <c r="A9" i="4"/>
  <c r="C9" i="4" s="1"/>
  <c r="I8" i="4"/>
  <c r="H8" i="4"/>
  <c r="G8" i="4"/>
  <c r="E8" i="4"/>
  <c r="F8" i="4" s="1"/>
  <c r="D8" i="4"/>
  <c r="C8" i="4"/>
  <c r="B8" i="4"/>
  <c r="A8" i="4"/>
  <c r="I7" i="4"/>
  <c r="H7" i="4"/>
  <c r="G7" i="4"/>
  <c r="F7" i="4"/>
  <c r="E7" i="4"/>
  <c r="D7" i="4"/>
  <c r="C7" i="4"/>
  <c r="B7" i="4"/>
  <c r="A7" i="4"/>
  <c r="I6" i="4"/>
  <c r="H6" i="4"/>
  <c r="G6" i="4"/>
  <c r="E6" i="4"/>
  <c r="F6" i="4" s="1"/>
  <c r="D6" i="4"/>
  <c r="C6" i="4"/>
  <c r="A6" i="4"/>
  <c r="B6" i="4" s="1"/>
  <c r="I5" i="4"/>
  <c r="H5" i="4"/>
  <c r="G5" i="4"/>
  <c r="E5" i="4"/>
  <c r="F5" i="4" s="1"/>
  <c r="D5" i="4"/>
  <c r="B5" i="4"/>
  <c r="A5" i="4"/>
  <c r="C5" i="4" s="1"/>
  <c r="I4" i="4"/>
  <c r="H4" i="4"/>
  <c r="G4" i="4"/>
  <c r="E4" i="4"/>
  <c r="F4" i="4" s="1"/>
  <c r="D4" i="4"/>
  <c r="C4" i="4"/>
  <c r="B4" i="4"/>
  <c r="A4" i="4"/>
  <c r="I3" i="4"/>
  <c r="H3" i="4"/>
  <c r="G3" i="4"/>
  <c r="F3" i="4"/>
  <c r="E3" i="4"/>
  <c r="D3" i="4"/>
  <c r="C3" i="4"/>
  <c r="B3" i="4"/>
  <c r="A3" i="4"/>
  <c r="I2" i="4"/>
  <c r="H2" i="4"/>
  <c r="G2" i="4"/>
  <c r="E2" i="4"/>
  <c r="F2" i="4" s="1"/>
  <c r="D2" i="4"/>
  <c r="C2" i="4"/>
  <c r="A2" i="4"/>
  <c r="B2" i="4" s="1"/>
</calcChain>
</file>

<file path=xl/sharedStrings.xml><?xml version="1.0" encoding="utf-8"?>
<sst xmlns="http://schemas.openxmlformats.org/spreadsheetml/2006/main" count="173" uniqueCount="118">
  <si>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</si>
  <si>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</si>
  <si>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</si>
  <si>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</si>
  <si>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</si>
  <si>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</si>
  <si>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</si>
  <si>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</si>
  <si>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</si>
  <si>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</si>
  <si>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</si>
  <si>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</si>
  <si>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</si>
  <si>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</si>
  <si>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</si>
  <si>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</si>
  <si>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</si>
  <si>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</si>
  <si>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</si>
  <si>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</si>
  <si>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</si>
  <si>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</si>
  <si>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</si>
  <si>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</si>
  <si>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</si>
  <si>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</si>
  <si>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</si>
  <si>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</si>
  <si>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</si>
  <si>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</si>
  <si>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</si>
  <si>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</si>
  <si>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</si>
  <si>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</si>
  <si>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</si>
  <si>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</si>
  <si>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</si>
  <si>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</si>
  <si>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</si>
  <si>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</si>
  <si>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</si>
  <si>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</si>
  <si>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</si>
  <si>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</si>
  <si>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</si>
  <si>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</si>
  <si>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</si>
  <si>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</si>
  <si>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</si>
  <si>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</si>
  <si>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</si>
  <si>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</si>
  <si>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</si>
  <si>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</si>
  <si>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</si>
  <si>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</si>
  <si>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</si>
  <si>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</si>
  <si>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</si>
  <si>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</si>
  <si>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</si>
  <si>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</si>
  <si>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</si>
  <si>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</si>
  <si>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</si>
  <si>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</si>
  <si>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</si>
  <si>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</si>
  <si>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</si>
  <si>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</si>
  <si>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</si>
  <si>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</si>
  <si>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</si>
  <si>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</si>
  <si>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</si>
  <si>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</si>
  <si>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</si>
  <si>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</si>
  <si>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</si>
  <si>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</si>
  <si>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</si>
  <si>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</si>
  <si>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</si>
  <si>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</si>
  <si>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</si>
  <si>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</si>
  <si>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</si>
  <si>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</si>
  <si>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</si>
  <si>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</si>
  <si>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</si>
  <si>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</si>
  <si>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</si>
  <si>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Manufacturing Date</t>
  </si>
  <si>
    <t>Country Code</t>
  </si>
  <si>
    <t>Product Brand</t>
  </si>
  <si>
    <t>1. Handling Missing Values</t>
  </si>
  <si>
    <t>2. Correcting Inconsistent Data</t>
  </si>
  <si>
    <t>3. Removing Duplicates</t>
  </si>
  <si>
    <t>4. Splitting and Merging Data</t>
  </si>
  <si>
    <t>5. Number Formatting</t>
  </si>
  <si>
    <t xml:space="preserve">   No missing values detected</t>
  </si>
  <si>
    <t>Price column: 0 blanks (all 32 records have prices)</t>
  </si>
  <si>
    <t>Category column: 0 blanks (all records assigned)</t>
  </si>
  <si>
    <t>No typos found in Category column (consistent: "Electronics", "Fashion", "Kitchen", "Outdoor", "Accessories")</t>
  </si>
  <si>
    <t>No inconsistent casing in Product Name column</t>
  </si>
  <si>
    <t>No hidden spaces or formatting issues</t>
  </si>
  <si>
    <t>4A: Split Product ID using LEFT &amp; RIGHT functions</t>
  </si>
  <si>
    <r>
      <t xml:space="preserve">   </t>
    </r>
    <r>
      <rPr>
        <b/>
        <sz val="11"/>
        <color rgb="FF000000"/>
        <rFont val="Arial"/>
        <family val="2"/>
      </rPr>
      <t>4B: Merge columns using concatenation (&amp;)</t>
    </r>
  </si>
  <si>
    <t xml:space="preserve">  Method: Data tab → Remove Duplicates → Select all columns</t>
  </si>
  <si>
    <t xml:space="preserve">  Duplicates Found &amp; Removed (2 rows):</t>
  </si>
  <si>
    <r>
      <t xml:space="preserve"> </t>
    </r>
    <r>
      <rPr>
        <b/>
        <sz val="11"/>
        <color rgb="FF000000"/>
        <rFont val="Arial"/>
        <family val="2"/>
      </rPr>
      <t xml:space="preserve"> Format prices as currency &amp; dates as DD-MM-YYYY</t>
    </r>
  </si>
  <si>
    <t>6. Conditional Formatting:</t>
  </si>
  <si>
    <r>
      <rPr>
        <b/>
        <sz val="10"/>
        <color rgb="FF000000"/>
        <rFont val="Arial"/>
        <family val="2"/>
      </rPr>
      <t xml:space="preserve"> </t>
    </r>
    <r>
      <rPr>
        <b/>
        <sz val="11"/>
        <rFont val="Arial"/>
        <family val="2"/>
      </rPr>
      <t>Apply data bars &amp; conditional highlighting</t>
    </r>
  </si>
  <si>
    <t xml:space="preserve">   combining brand and product fields created a unified "Product Brand" identifier, optimizing the readability of client-facing dashboards.</t>
  </si>
  <si>
    <r>
      <t xml:space="preserve">  </t>
    </r>
    <r>
      <rPr>
        <b/>
        <sz val="11"/>
        <rFont val="Arial"/>
        <family val="2"/>
      </rPr>
      <t>Converting raw numeric characters into explicit currency formats and standardized DD-MM-YYYY dates dramatically enhanced visual data comprehension.</t>
    </r>
  </si>
  <si>
    <t>Applying color gradients across the "Price" metric instantly surfaced revenue outliers and premium products at a glance</t>
  </si>
  <si>
    <t>Additionally, the custom highlight rule applied to "Electronics" creates an immediate visual anchor for high-priority product segments during executive reviews.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</si>
</sst>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\$#,##0.00"/>
  </numFmts>
  <fonts count="15" x14ac:knownFonts="1">
    <font>
      <sz val="10"/>
      <color rgb="FF000000"/>
      <name val="Arial"/>
      <charset val="1"/>
    </font>
    <font>
      <b/>
      <sz val="10"/>
      <color theme="1"/>
      <name val="Arial"/>
      <charset val="1"/>
    </font>
    <font>
      <sz val="10"/>
      <color theme="1"/>
      <name val="Arial"/>
      <charset val="1"/>
    </font>
    <font>
      <b/>
      <sz val="18"/>
      <color rgb="FFFF0000"/>
      <name val="Arial"/>
      <family val="2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color rgb="FF1B1C1F"/>
      <name val="Arial"/>
      <family val="2"/>
      <scheme val="minor"/>
    </font>
    <font>
      <b/>
      <sz val="10"/>
      <color rgb="FF000000"/>
      <name val="Arial"/>
      <family val="2"/>
    </font>
    <font>
      <b/>
      <sz val="14"/>
      <color rgb="FFFF0000"/>
      <name val="Arial"/>
      <family val="2"/>
    </font>
    <font>
      <b/>
      <sz val="14"/>
      <color rgb="FFFF0000"/>
      <name val="Arial"/>
      <family val="2"/>
      <scheme val="minor"/>
    </font>
    <font>
      <sz val="10"/>
      <color rgb="FF000000"/>
      <name val="Arial"/>
      <family val="2"/>
    </font>
    <font>
      <sz val="8"/>
      <color rgb="FF1B1C1F"/>
      <name val="Arial"/>
      <family val="2"/>
    </font>
    <font>
      <b/>
      <sz val="11"/>
      <color rgb="FF1B1C1F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99CCFF"/>
      </patternFill>
    </fill>
    <fill>
      <patternFill patternType="solid">
        <fgColor rgb="FFE0F7FA"/>
        <bgColor rgb="FFCCFFFF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3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 applyAlignment="1">
      <alignment vertical="center" wrapText="1"/>
    </xf>
    <xf numFmtId="0" fontId="0" fillId="0" borderId="0" xfId="0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 wrapText="1" indent="1"/>
    </xf>
    <xf numFmtId="0" fontId="12" fillId="0" borderId="0" xfId="0" applyFont="1" applyAlignment="1">
      <alignment horizontal="left" vertical="center" wrapText="1" indent="1"/>
    </xf>
    <xf numFmtId="0" fontId="10" fillId="0" borderId="0" xfId="0" applyFont="1"/>
    <xf numFmtId="0" fontId="7" fillId="0" borderId="0" xfId="0" applyFont="1"/>
    <xf numFmtId="0" fontId="13" fillId="0" borderId="0" xfId="0" applyFont="1"/>
    <xf numFmtId="0" fontId="14" fillId="0" borderId="0" xfId="0" applyFont="1"/>
  </cellXfs>
  <cellStyles count="1">
    <cellStyle name="Normal" xfId="0" builtinId="0"/>
  </cellStyles>
  <dxfs count="1">
    <dxf>
      <font>
        <b/>
      </font>
      <fill>
        <patternFill>
          <bgColor rgb="FFFFF59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38F"/>
      <rgbColor rgb="FFC0C0C0"/>
      <rgbColor rgb="FF808080"/>
      <rgbColor rgb="FF9999FF"/>
      <rgbColor rgb="FF993366"/>
      <rgbColor rgb="FFFFFFCC"/>
      <rgbColor rgb="FFE0F7FA"/>
      <rgbColor rgb="FF660066"/>
      <rgbColor rgb="FFFF8080"/>
      <rgbColor rgb="FF0D5BD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59D"/>
      <rgbColor rgb="FF99CCFF"/>
      <rgbColor rgb="FFFF99CC"/>
      <rgbColor rgb="FFCC99FF"/>
      <rgbColor rgb="FFFFCC99"/>
      <rgbColor rgb="FF3366FF"/>
      <rgbColor rgb="FF4DD0E1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0</xdr:col>
      <xdr:colOff>3543607</xdr:colOff>
      <xdr:row>31</xdr:row>
      <xdr:rowOff>23022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7283F5-5E9A-42BF-AA1F-0345CEE0F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95700"/>
          <a:ext cx="3543607" cy="186706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228600</xdr:colOff>
          <xdr:row>36</xdr:row>
          <xdr:rowOff>38100</xdr:rowOff>
        </xdr:to>
        <xdr:sp macro="" textlink="">
          <xdr:nvSpPr>
            <xdr:cNvPr id="3073" name="Control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Normal="100" workbookViewId="0"/>
  </sheetViews>
  <sheetFormatPr defaultColWidth="12.6640625" defaultRowHeight="13.2" x14ac:dyDescent="0.25"/>
  <cols>
    <col min="2" max="2" width="14.109375" customWidth="1"/>
  </cols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 x14ac:dyDescent="0.2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</row>
    <row r="3" spans="1:7" ht="15.75" customHeight="1" x14ac:dyDescent="0.2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</row>
    <row r="4" spans="1:7" ht="15.75" customHeight="1" x14ac:dyDescent="0.2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</row>
    <row r="5" spans="1:7" ht="15.75" customHeight="1" x14ac:dyDescent="0.2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</row>
    <row r="6" spans="1:7" ht="15.75" customHeight="1" x14ac:dyDescent="0.2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</row>
    <row r="7" spans="1:7" ht="15.75" customHeight="1" x14ac:dyDescent="0.2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</row>
    <row r="8" spans="1:7" ht="15.75" customHeight="1" x14ac:dyDescent="0.2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</row>
    <row r="9" spans="1:7" ht="15.75" customHeight="1" x14ac:dyDescent="0.2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</row>
    <row r="10" spans="1:7" ht="15.75" customHeight="1" x14ac:dyDescent="0.2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</row>
    <row r="11" spans="1:7" ht="15.75" customHeight="1" x14ac:dyDescent="0.2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</row>
    <row r="12" spans="1:7" ht="15.75" customHeight="1" x14ac:dyDescent="0.2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</row>
    <row r="13" spans="1:7" ht="15.75" customHeight="1" x14ac:dyDescent="0.2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</row>
    <row r="14" spans="1:7" ht="15.75" customHeight="1" x14ac:dyDescent="0.2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</row>
    <row r="15" spans="1:7" ht="15.75" customHeight="1" x14ac:dyDescent="0.2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</row>
    <row r="16" spans="1:7" ht="15.75" customHeight="1" x14ac:dyDescent="0.2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</row>
    <row r="17" spans="1:7" ht="15.75" customHeight="1" x14ac:dyDescent="0.2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spans="1:7" ht="15.75" customHeight="1" x14ac:dyDescent="0.2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spans="1:7" ht="15.75" customHeight="1" x14ac:dyDescent="0.2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spans="1:7" ht="15.75" customHeight="1" x14ac:dyDescent="0.2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</row>
    <row r="21" spans="1:7" ht="15.75" customHeight="1" x14ac:dyDescent="0.2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</row>
    <row r="22" spans="1:7" ht="15.75" customHeight="1" x14ac:dyDescent="0.2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</row>
    <row r="23" spans="1:7" ht="15.75" customHeight="1" x14ac:dyDescent="0.2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</row>
    <row r="24" spans="1:7" ht="15.75" customHeight="1" x14ac:dyDescent="0.2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</row>
    <row r="25" spans="1:7" ht="15.75" customHeight="1" x14ac:dyDescent="0.2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5"/>
    </row>
    <row r="26" spans="1:7" ht="15.75" customHeight="1" x14ac:dyDescent="0.2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/>
    </row>
    <row r="27" spans="1:7" ht="15.75" customHeight="1" x14ac:dyDescent="0.2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/>
    </row>
    <row r="28" spans="1:7" ht="15.75" customHeight="1" x14ac:dyDescent="0.25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/>
    </row>
    <row r="29" spans="1:7" ht="15.75" customHeight="1" x14ac:dyDescent="0.2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5"/>
    </row>
    <row r="30" spans="1:7" ht="15.75" customHeight="1" x14ac:dyDescent="0.2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/>
    </row>
    <row r="31" spans="1:7" ht="15.75" customHeight="1" x14ac:dyDescent="0.2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/>
    </row>
    <row r="32" spans="1:7" ht="15.75" customHeight="1" x14ac:dyDescent="0.2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/>
    </row>
    <row r="33" spans="1:7" ht="15.75" customHeight="1" x14ac:dyDescent="0.2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/>
    </row>
    <row r="34" spans="1:7" ht="15.75" customHeight="1" x14ac:dyDescent="0.2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/>
    </row>
    <row r="35" spans="1:7" ht="15.75" customHeight="1" x14ac:dyDescent="0.2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3"/>
  <sheetViews>
    <sheetView showGridLines="0" tabSelected="1" zoomScaleNormal="100" workbookViewId="0">
      <pane ySplit="1" topLeftCell="A11" activePane="bottomLeft" state="frozen"/>
      <selection pane="bottomLeft" activeCell="B12" sqref="B12"/>
    </sheetView>
  </sheetViews>
  <sheetFormatPr defaultColWidth="8.6640625" defaultRowHeight="13.2" x14ac:dyDescent="0.25"/>
  <cols>
    <col min="1" max="1" width="14" customWidth="1"/>
    <col min="2" max="2" width="18" customWidth="1"/>
    <col min="3" max="3" width="13" customWidth="1"/>
    <col min="4" max="4" width="16" customWidth="1"/>
    <col min="5" max="5" width="13" customWidth="1"/>
    <col min="6" max="6" width="22" customWidth="1"/>
    <col min="7" max="7" width="12" customWidth="1"/>
    <col min="8" max="8" width="10" customWidth="1"/>
    <col min="9" max="9" width="13" customWidth="1"/>
  </cols>
  <sheetData>
    <row r="1" spans="1:9" ht="15" customHeight="1" x14ac:dyDescent="0.25">
      <c r="A1" s="7" t="s">
        <v>0</v>
      </c>
      <c r="B1" s="7" t="s">
        <v>93</v>
      </c>
      <c r="C1" s="7" t="s">
        <v>94</v>
      </c>
      <c r="D1" s="7" t="s">
        <v>1</v>
      </c>
      <c r="E1" s="7" t="s">
        <v>2</v>
      </c>
      <c r="F1" s="7" t="s">
        <v>95</v>
      </c>
      <c r="G1" s="7" t="s">
        <v>3</v>
      </c>
      <c r="H1" s="7" t="s">
        <v>4</v>
      </c>
      <c r="I1" s="7" t="s">
        <v>5</v>
      </c>
    </row>
    <row r="2" spans="1:9" ht="15" customHeight="1" x14ac:dyDescent="0.25">
      <c r="A2" s="8" t="str">
        <f>Dataset!A2</f>
        <v>28-JAN-US</v>
      </c>
      <c r="B2" s="9">
        <f t="shared" ref="B2:B33" ca="1" si="0">DATEVALUE(LEFT(A2,LEN(A2)-3)&amp;"-"&amp;YEAR(TODAY()))</f>
        <v>46050</v>
      </c>
      <c r="C2" s="8" t="str">
        <f t="shared" ref="C2:C33" si="1">RIGHT(A2,2)</f>
        <v>US</v>
      </c>
      <c r="D2" s="8" t="str">
        <f>PROPER(TRIM(Dataset!B2))</f>
        <v>Laptop</v>
      </c>
      <c r="E2" s="8" t="str">
        <f>SUBSTITUTE(PROPER(TRIM(Dataset!C2)),"'S","'s")</f>
        <v>Dell</v>
      </c>
      <c r="F2" s="8" t="str">
        <f t="shared" ref="F2:F33" si="2">E2&amp;" "&amp;D2</f>
        <v>Dell Laptop</v>
      </c>
      <c r="G2" s="10">
        <f>Dataset!D2</f>
        <v>1000</v>
      </c>
      <c r="H2" s="8">
        <f>Dataset!E2</f>
        <v>30</v>
      </c>
      <c r="I2" s="8" t="str">
        <f>PROPER(TRIM(Dataset!F2))</f>
        <v>Electronics</v>
      </c>
    </row>
    <row r="3" spans="1:9" ht="15" customHeight="1" x14ac:dyDescent="0.25">
      <c r="A3" s="8" t="str">
        <f>Dataset!A3</f>
        <v>15-FEB-US</v>
      </c>
      <c r="B3" s="9">
        <f t="shared" ca="1" si="0"/>
        <v>46068</v>
      </c>
      <c r="C3" s="8" t="str">
        <f t="shared" si="1"/>
        <v>US</v>
      </c>
      <c r="D3" s="8" t="str">
        <f>PROPER(TRIM(Dataset!B3))</f>
        <v>Sneakers</v>
      </c>
      <c r="E3" s="8" t="str">
        <f>SUBSTITUTE(PROPER(TRIM(Dataset!C3)),"'S","'s")</f>
        <v>Nike</v>
      </c>
      <c r="F3" s="8" t="str">
        <f t="shared" si="2"/>
        <v>Nike Sneakers</v>
      </c>
      <c r="G3" s="10">
        <f>Dataset!D3</f>
        <v>80</v>
      </c>
      <c r="H3" s="8">
        <f>Dataset!E3</f>
        <v>15</v>
      </c>
      <c r="I3" s="8" t="str">
        <f>PROPER(TRIM(Dataset!F3))</f>
        <v>Fashion</v>
      </c>
    </row>
    <row r="4" spans="1:9" ht="15" customHeight="1" x14ac:dyDescent="0.25">
      <c r="A4" s="8" t="str">
        <f>Dataset!A4</f>
        <v>03-MAR-US</v>
      </c>
      <c r="B4" s="9">
        <f t="shared" ca="1" si="0"/>
        <v>46084</v>
      </c>
      <c r="C4" s="8" t="str">
        <f t="shared" si="1"/>
        <v>US</v>
      </c>
      <c r="D4" s="8" t="str">
        <f>PROPER(TRIM(Dataset!B4))</f>
        <v>Coffee Maker</v>
      </c>
      <c r="E4" s="8" t="str">
        <f>SUBSTITUTE(PROPER(TRIM(Dataset!C4)),"'S","'s")</f>
        <v>Keurig</v>
      </c>
      <c r="F4" s="8" t="str">
        <f t="shared" si="2"/>
        <v>Keurig Coffee Maker</v>
      </c>
      <c r="G4" s="10">
        <f>Dataset!D4</f>
        <v>130</v>
      </c>
      <c r="H4" s="8">
        <f>Dataset!E4</f>
        <v>40</v>
      </c>
      <c r="I4" s="8" t="str">
        <f>PROPER(TRIM(Dataset!F4))</f>
        <v>Kitchen</v>
      </c>
    </row>
    <row r="5" spans="1:9" ht="15" customHeight="1" x14ac:dyDescent="0.25">
      <c r="A5" s="8" t="str">
        <f>Dataset!A5</f>
        <v>11-APR-US</v>
      </c>
      <c r="B5" s="9">
        <f t="shared" ca="1" si="0"/>
        <v>46123</v>
      </c>
      <c r="C5" s="8" t="str">
        <f t="shared" si="1"/>
        <v>US</v>
      </c>
      <c r="D5" s="8" t="str">
        <f>PROPER(TRIM(Dataset!B5))</f>
        <v>Smartphone</v>
      </c>
      <c r="E5" s="8" t="str">
        <f>SUBSTITUTE(PROPER(TRIM(Dataset!C5)),"'S","'s")</f>
        <v>Samsung</v>
      </c>
      <c r="F5" s="8" t="str">
        <f t="shared" si="2"/>
        <v>Samsung Smartphone</v>
      </c>
      <c r="G5" s="10">
        <f>Dataset!D5</f>
        <v>900</v>
      </c>
      <c r="H5" s="8">
        <f>Dataset!E5</f>
        <v>25</v>
      </c>
      <c r="I5" s="8" t="str">
        <f>PROPER(TRIM(Dataset!F5))</f>
        <v>Electronics</v>
      </c>
    </row>
    <row r="6" spans="1:9" ht="15" customHeight="1" x14ac:dyDescent="0.25">
      <c r="A6" s="8" t="str">
        <f>Dataset!A6</f>
        <v>22-MAY-US</v>
      </c>
      <c r="B6" s="9">
        <f t="shared" ca="1" si="0"/>
        <v>46164</v>
      </c>
      <c r="C6" s="8" t="str">
        <f t="shared" si="1"/>
        <v>US</v>
      </c>
      <c r="D6" s="8" t="str">
        <f>PROPER(TRIM(Dataset!B6))</f>
        <v>Backpack</v>
      </c>
      <c r="E6" s="8" t="str">
        <f>SUBSTITUTE(PROPER(TRIM(Dataset!C6)),"'S","'s")</f>
        <v>North Face</v>
      </c>
      <c r="F6" s="8" t="str">
        <f t="shared" si="2"/>
        <v>North Face Backpack</v>
      </c>
      <c r="G6" s="10">
        <f>Dataset!D6</f>
        <v>70</v>
      </c>
      <c r="H6" s="8">
        <f>Dataset!E6</f>
        <v>20</v>
      </c>
      <c r="I6" s="8" t="str">
        <f>PROPER(TRIM(Dataset!F6))</f>
        <v>Outdoor</v>
      </c>
    </row>
    <row r="7" spans="1:9" ht="15" customHeight="1" x14ac:dyDescent="0.25">
      <c r="A7" s="8" t="str">
        <f>Dataset!A7</f>
        <v>07-JUN-UK</v>
      </c>
      <c r="B7" s="9">
        <f t="shared" ca="1" si="0"/>
        <v>46180</v>
      </c>
      <c r="C7" s="8" t="str">
        <f t="shared" si="1"/>
        <v>UK</v>
      </c>
      <c r="D7" s="8" t="str">
        <f>PROPER(TRIM(Dataset!B7))</f>
        <v>Headphones</v>
      </c>
      <c r="E7" s="8" t="str">
        <f>SUBSTITUTE(PROPER(TRIM(Dataset!C7)),"'S","'s")</f>
        <v>Sony</v>
      </c>
      <c r="F7" s="8" t="str">
        <f t="shared" si="2"/>
        <v>Sony Headphones</v>
      </c>
      <c r="G7" s="10">
        <f>Dataset!D7</f>
        <v>200</v>
      </c>
      <c r="H7" s="8">
        <f>Dataset!E7</f>
        <v>45</v>
      </c>
      <c r="I7" s="8" t="str">
        <f>PROPER(TRIM(Dataset!F7))</f>
        <v>Electronics</v>
      </c>
    </row>
    <row r="8" spans="1:9" ht="15" customHeight="1" x14ac:dyDescent="0.25">
      <c r="A8" s="8" t="str">
        <f>Dataset!A8</f>
        <v>19-JUL-UK</v>
      </c>
      <c r="B8" s="9">
        <f t="shared" ca="1" si="0"/>
        <v>46222</v>
      </c>
      <c r="C8" s="8" t="str">
        <f t="shared" si="1"/>
        <v>UK</v>
      </c>
      <c r="D8" s="8" t="str">
        <f>PROPER(TRIM(Dataset!B8))</f>
        <v>T-Shirt</v>
      </c>
      <c r="E8" s="8" t="str">
        <f>SUBSTITUTE(PROPER(TRIM(Dataset!C8)),"'S","'s")</f>
        <v>Adidas</v>
      </c>
      <c r="F8" s="8" t="str">
        <f t="shared" si="2"/>
        <v>Adidas T-Shirt</v>
      </c>
      <c r="G8" s="10">
        <f>Dataset!D8</f>
        <v>30</v>
      </c>
      <c r="H8" s="8">
        <f>Dataset!E8</f>
        <v>5</v>
      </c>
      <c r="I8" s="8" t="str">
        <f>PROPER(TRIM(Dataset!F8))</f>
        <v>Fashion</v>
      </c>
    </row>
    <row r="9" spans="1:9" ht="15" customHeight="1" x14ac:dyDescent="0.25">
      <c r="A9" s="8" t="str">
        <f>Dataset!A9</f>
        <v>23-AUG-UK</v>
      </c>
      <c r="B9" s="9">
        <f t="shared" ca="1" si="0"/>
        <v>46257</v>
      </c>
      <c r="C9" s="8" t="str">
        <f t="shared" si="1"/>
        <v>UK</v>
      </c>
      <c r="D9" s="8" t="str">
        <f>PROPER(TRIM(Dataset!B9))</f>
        <v>Blender</v>
      </c>
      <c r="E9" s="8" t="str">
        <f>SUBSTITUTE(PROPER(TRIM(Dataset!C9)),"'S","'s")</f>
        <v>Ninja</v>
      </c>
      <c r="F9" s="8" t="str">
        <f t="shared" si="2"/>
        <v>Ninja Blender</v>
      </c>
      <c r="G9" s="10">
        <f>Dataset!D9</f>
        <v>90</v>
      </c>
      <c r="H9" s="8">
        <f>Dataset!E9</f>
        <v>35</v>
      </c>
      <c r="I9" s="8" t="str">
        <f>PROPER(TRIM(Dataset!F9))</f>
        <v>Kitchen</v>
      </c>
    </row>
    <row r="10" spans="1:9" ht="15" customHeight="1" x14ac:dyDescent="0.25">
      <c r="A10" s="8" t="str">
        <f>Dataset!A10</f>
        <v>05-SEP-UK</v>
      </c>
      <c r="B10" s="9">
        <f t="shared" ca="1" si="0"/>
        <v>46270</v>
      </c>
      <c r="C10" s="8" t="str">
        <f t="shared" si="1"/>
        <v>UK</v>
      </c>
      <c r="D10" s="8" t="str">
        <f>PROPER(TRIM(Dataset!B10))</f>
        <v>Tablet</v>
      </c>
      <c r="E10" s="8" t="str">
        <f>SUBSTITUTE(PROPER(TRIM(Dataset!C10)),"'S","'s")</f>
        <v>Apple</v>
      </c>
      <c r="F10" s="8" t="str">
        <f t="shared" si="2"/>
        <v>Apple Tablet</v>
      </c>
      <c r="G10" s="10">
        <f>Dataset!D10</f>
        <v>500</v>
      </c>
      <c r="H10" s="8">
        <f>Dataset!E10</f>
        <v>50</v>
      </c>
      <c r="I10" s="8" t="str">
        <f>PROPER(TRIM(Dataset!F10))</f>
        <v>Electronics</v>
      </c>
    </row>
    <row r="11" spans="1:9" ht="15" customHeight="1" x14ac:dyDescent="0.25">
      <c r="A11" s="8" t="str">
        <f>Dataset!A11</f>
        <v>14-OCT-UK</v>
      </c>
      <c r="B11" s="9">
        <f t="shared" ca="1" si="0"/>
        <v>46309</v>
      </c>
      <c r="C11" s="8" t="str">
        <f t="shared" si="1"/>
        <v>UK</v>
      </c>
      <c r="D11" s="8" t="str">
        <f>PROPER(TRIM(Dataset!B11))</f>
        <v>Hiking Boots</v>
      </c>
      <c r="E11" s="8" t="str">
        <f>SUBSTITUTE(PROPER(TRIM(Dataset!C11)),"'S","'s")</f>
        <v>Timberland</v>
      </c>
      <c r="F11" s="8" t="str">
        <f t="shared" si="2"/>
        <v>Timberland Hiking Boots</v>
      </c>
      <c r="G11" s="10">
        <f>Dataset!D11</f>
        <v>130</v>
      </c>
      <c r="H11" s="8">
        <f>Dataset!E11</f>
        <v>10</v>
      </c>
      <c r="I11" s="8" t="str">
        <f>PROPER(TRIM(Dataset!F11))</f>
        <v>Outdoor</v>
      </c>
    </row>
    <row r="12" spans="1:9" ht="15" customHeight="1" x14ac:dyDescent="0.25">
      <c r="A12" s="8" t="str">
        <f>Dataset!A12</f>
        <v>17-JUN-IN</v>
      </c>
      <c r="B12" s="9">
        <f t="shared" ca="1" si="0"/>
        <v>46190</v>
      </c>
      <c r="C12" s="8" t="str">
        <f t="shared" si="1"/>
        <v>IN</v>
      </c>
      <c r="D12" s="8" t="str">
        <f>PROPER(TRIM(Dataset!B12))</f>
        <v>Laptop</v>
      </c>
      <c r="E12" s="8" t="str">
        <f>SUBSTITUTE(PROPER(TRIM(Dataset!C12)),"'S","'s")</f>
        <v>Hp</v>
      </c>
      <c r="F12" s="8" t="str">
        <f t="shared" si="2"/>
        <v>Hp Laptop</v>
      </c>
      <c r="G12" s="10">
        <f>Dataset!D12</f>
        <v>950</v>
      </c>
      <c r="H12" s="8">
        <f>Dataset!E12</f>
        <v>25</v>
      </c>
      <c r="I12" s="8" t="str">
        <f>PROPER(TRIM(Dataset!F12))</f>
        <v>Electronics</v>
      </c>
    </row>
    <row r="13" spans="1:9" ht="15" customHeight="1" x14ac:dyDescent="0.25">
      <c r="A13" s="8" t="str">
        <f>Dataset!A13</f>
        <v>25-NOV-AU</v>
      </c>
      <c r="B13" s="9">
        <f t="shared" ca="1" si="0"/>
        <v>46351</v>
      </c>
      <c r="C13" s="8" t="str">
        <f t="shared" si="1"/>
        <v>AU</v>
      </c>
      <c r="D13" s="8" t="str">
        <f>PROPER(TRIM(Dataset!B13))</f>
        <v>Sneakers</v>
      </c>
      <c r="E13" s="8" t="str">
        <f>SUBSTITUTE(PROPER(TRIM(Dataset!C13)),"'S","'s")</f>
        <v>Adidas</v>
      </c>
      <c r="F13" s="8" t="str">
        <f t="shared" si="2"/>
        <v>Adidas Sneakers</v>
      </c>
      <c r="G13" s="10">
        <f>Dataset!D13</f>
        <v>90</v>
      </c>
      <c r="H13" s="8">
        <f>Dataset!E13</f>
        <v>40</v>
      </c>
      <c r="I13" s="8" t="str">
        <f>PROPER(TRIM(Dataset!F13))</f>
        <v>Fashion</v>
      </c>
    </row>
    <row r="14" spans="1:9" ht="15" customHeight="1" x14ac:dyDescent="0.25">
      <c r="A14" s="8" t="str">
        <f>Dataset!A14</f>
        <v>08-DEC-DE</v>
      </c>
      <c r="B14" s="9">
        <f t="shared" ca="1" si="0"/>
        <v>46364</v>
      </c>
      <c r="C14" s="8" t="str">
        <f t="shared" si="1"/>
        <v>DE</v>
      </c>
      <c r="D14" s="8" t="str">
        <f>PROPER(TRIM(Dataset!B14))</f>
        <v>Coffee Maker</v>
      </c>
      <c r="E14" s="8" t="str">
        <f>SUBSTITUTE(PROPER(TRIM(Dataset!C14)),"'S","'s")</f>
        <v>Nespresso</v>
      </c>
      <c r="F14" s="8" t="str">
        <f t="shared" si="2"/>
        <v>Nespresso Coffee Maker</v>
      </c>
      <c r="G14" s="10">
        <f>Dataset!D14</f>
        <v>120</v>
      </c>
      <c r="H14" s="8">
        <f>Dataset!E14</f>
        <v>35</v>
      </c>
      <c r="I14" s="8" t="str">
        <f>PROPER(TRIM(Dataset!F14))</f>
        <v>Kitchen</v>
      </c>
    </row>
    <row r="15" spans="1:9" ht="15" customHeight="1" x14ac:dyDescent="0.25">
      <c r="A15" s="8" t="str">
        <f>Dataset!A15</f>
        <v>18-FEB-CA</v>
      </c>
      <c r="B15" s="9">
        <f t="shared" ca="1" si="0"/>
        <v>46071</v>
      </c>
      <c r="C15" s="8" t="str">
        <f t="shared" si="1"/>
        <v>CA</v>
      </c>
      <c r="D15" s="8" t="str">
        <f>PROPER(TRIM(Dataset!B15))</f>
        <v>Smartwatch</v>
      </c>
      <c r="E15" s="8" t="str">
        <f>SUBSTITUTE(PROPER(TRIM(Dataset!C15)),"'S","'s")</f>
        <v>Fitbit</v>
      </c>
      <c r="F15" s="8" t="str">
        <f t="shared" si="2"/>
        <v>Fitbit Smartwatch</v>
      </c>
      <c r="G15" s="10">
        <f>Dataset!D15</f>
        <v>150</v>
      </c>
      <c r="H15" s="8">
        <f>Dataset!E15</f>
        <v>15</v>
      </c>
      <c r="I15" s="8" t="str">
        <f>PROPER(TRIM(Dataset!F15))</f>
        <v>Electronics</v>
      </c>
    </row>
    <row r="16" spans="1:9" ht="15" customHeight="1" x14ac:dyDescent="0.25">
      <c r="A16" s="8" t="str">
        <f>Dataset!A16</f>
        <v>16-APR-ES</v>
      </c>
      <c r="B16" s="9">
        <f t="shared" ca="1" si="0"/>
        <v>46128</v>
      </c>
      <c r="C16" s="8" t="str">
        <f t="shared" si="1"/>
        <v>ES</v>
      </c>
      <c r="D16" s="8" t="str">
        <f>PROPER(TRIM(Dataset!B16))</f>
        <v>Headphones</v>
      </c>
      <c r="E16" s="8" t="str">
        <f>SUBSTITUTE(PROPER(TRIM(Dataset!C16)),"'S","'s")</f>
        <v>Bose</v>
      </c>
      <c r="F16" s="8" t="str">
        <f t="shared" si="2"/>
        <v>Bose Headphones</v>
      </c>
      <c r="G16" s="10">
        <f>Dataset!D16</f>
        <v>250</v>
      </c>
      <c r="H16" s="8">
        <f>Dataset!E16</f>
        <v>20</v>
      </c>
      <c r="I16" s="8" t="str">
        <f>PROPER(TRIM(Dataset!F16))</f>
        <v>Electronics</v>
      </c>
    </row>
    <row r="17" spans="1:9" ht="15" customHeight="1" x14ac:dyDescent="0.25">
      <c r="A17" s="8" t="str">
        <f>Dataset!A17</f>
        <v>21-AUG-CA</v>
      </c>
      <c r="B17" s="9">
        <f t="shared" ca="1" si="0"/>
        <v>46255</v>
      </c>
      <c r="C17" s="8" t="str">
        <f t="shared" si="1"/>
        <v>CA</v>
      </c>
      <c r="D17" s="8" t="str">
        <f>PROPER(TRIM(Dataset!B17))</f>
        <v>Laptop Bag</v>
      </c>
      <c r="E17" s="8" t="str">
        <f>SUBSTITUTE(PROPER(TRIM(Dataset!C17)),"'S","'s")</f>
        <v>Samsonite</v>
      </c>
      <c r="F17" s="8" t="str">
        <f t="shared" si="2"/>
        <v>Samsonite Laptop Bag</v>
      </c>
      <c r="G17" s="10">
        <f>Dataset!D17</f>
        <v>50</v>
      </c>
      <c r="H17" s="8">
        <f>Dataset!E17</f>
        <v>35</v>
      </c>
      <c r="I17" s="8" t="str">
        <f>PROPER(TRIM(Dataset!F17))</f>
        <v>Accessories</v>
      </c>
    </row>
    <row r="18" spans="1:9" ht="15" customHeight="1" x14ac:dyDescent="0.25">
      <c r="A18" s="8" t="str">
        <f>Dataset!A18</f>
        <v>20-AUG-CN</v>
      </c>
      <c r="B18" s="9">
        <f t="shared" ca="1" si="0"/>
        <v>46254</v>
      </c>
      <c r="C18" s="8" t="str">
        <f t="shared" si="1"/>
        <v>CN</v>
      </c>
      <c r="D18" s="8" t="str">
        <f>PROPER(TRIM(Dataset!B18))</f>
        <v>Smartwatch</v>
      </c>
      <c r="E18" s="8" t="str">
        <f>SUBSTITUTE(PROPER(TRIM(Dataset!C18)),"'S","'s")</f>
        <v>Huawei</v>
      </c>
      <c r="F18" s="8" t="str">
        <f t="shared" si="2"/>
        <v>Huawei Smartwatch</v>
      </c>
      <c r="G18" s="10">
        <f>Dataset!D18</f>
        <v>160</v>
      </c>
      <c r="H18" s="8">
        <f>Dataset!E18</f>
        <v>15</v>
      </c>
      <c r="I18" s="8" t="str">
        <f>PROPER(TRIM(Dataset!F18))</f>
        <v>Electronics</v>
      </c>
    </row>
    <row r="19" spans="1:9" ht="15" customHeight="1" x14ac:dyDescent="0.25">
      <c r="A19" s="8" t="str">
        <f>Dataset!A19</f>
        <v>27-JAN-IT</v>
      </c>
      <c r="B19" s="9">
        <f t="shared" ca="1" si="0"/>
        <v>46049</v>
      </c>
      <c r="C19" s="8" t="str">
        <f t="shared" si="1"/>
        <v>IT</v>
      </c>
      <c r="D19" s="8" t="str">
        <f>PROPER(TRIM(Dataset!B19))</f>
        <v>Laptop</v>
      </c>
      <c r="E19" s="8" t="str">
        <f>SUBSTITUTE(PROPER(TRIM(Dataset!C19)),"'S","'s")</f>
        <v>Asus</v>
      </c>
      <c r="F19" s="8" t="str">
        <f t="shared" si="2"/>
        <v>Asus Laptop</v>
      </c>
      <c r="G19" s="10">
        <f>Dataset!D19</f>
        <v>980</v>
      </c>
      <c r="H19" s="8">
        <f>Dataset!E19</f>
        <v>10</v>
      </c>
      <c r="I19" s="8" t="str">
        <f>PROPER(TRIM(Dataset!F19))</f>
        <v>Electronics</v>
      </c>
    </row>
    <row r="20" spans="1:9" ht="15" customHeight="1" x14ac:dyDescent="0.25">
      <c r="A20" s="8" t="str">
        <f>Dataset!A20</f>
        <v>01-MAR-UK</v>
      </c>
      <c r="B20" s="9">
        <f t="shared" ca="1" si="0"/>
        <v>46082</v>
      </c>
      <c r="C20" s="8" t="str">
        <f t="shared" si="1"/>
        <v>UK</v>
      </c>
      <c r="D20" s="8" t="str">
        <f>PROPER(TRIM(Dataset!B20))</f>
        <v>Sunglasses</v>
      </c>
      <c r="E20" s="8" t="str">
        <f>SUBSTITUTE(PROPER(TRIM(Dataset!C20)),"'S","'s")</f>
        <v>Oakley</v>
      </c>
      <c r="F20" s="8" t="str">
        <f t="shared" si="2"/>
        <v>Oakley Sunglasses</v>
      </c>
      <c r="G20" s="10">
        <f>Dataset!D20</f>
        <v>150</v>
      </c>
      <c r="H20" s="8">
        <f>Dataset!E20</f>
        <v>15</v>
      </c>
      <c r="I20" s="8" t="str">
        <f>PROPER(TRIM(Dataset!F20))</f>
        <v>Fashion</v>
      </c>
    </row>
    <row r="21" spans="1:9" ht="15" customHeight="1" x14ac:dyDescent="0.25">
      <c r="A21" s="8" t="str">
        <f>Dataset!A21</f>
        <v>14-AUG-US</v>
      </c>
      <c r="B21" s="9">
        <f t="shared" ca="1" si="0"/>
        <v>46248</v>
      </c>
      <c r="C21" s="8" t="str">
        <f t="shared" si="1"/>
        <v>US</v>
      </c>
      <c r="D21" s="8" t="str">
        <f>PROPER(TRIM(Dataset!B21))</f>
        <v>Camping Tent</v>
      </c>
      <c r="E21" s="8" t="str">
        <f>SUBSTITUTE(PROPER(TRIM(Dataset!C21)),"'S","'s")</f>
        <v>Coleman</v>
      </c>
      <c r="F21" s="8" t="str">
        <f t="shared" si="2"/>
        <v>Coleman Camping Tent</v>
      </c>
      <c r="G21" s="10">
        <f>Dataset!D21</f>
        <v>200</v>
      </c>
      <c r="H21" s="8">
        <f>Dataset!E21</f>
        <v>10</v>
      </c>
      <c r="I21" s="8" t="str">
        <f>PROPER(TRIM(Dataset!F21))</f>
        <v>Outdoor</v>
      </c>
    </row>
    <row r="22" spans="1:9" ht="15" customHeight="1" x14ac:dyDescent="0.25">
      <c r="A22" s="8" t="str">
        <f>Dataset!A22</f>
        <v>14-MAY-RU</v>
      </c>
      <c r="B22" s="9">
        <f t="shared" ca="1" si="0"/>
        <v>46156</v>
      </c>
      <c r="C22" s="8" t="str">
        <f t="shared" si="1"/>
        <v>RU</v>
      </c>
      <c r="D22" s="8" t="str">
        <f>PROPER(TRIM(Dataset!B22))</f>
        <v>Camera</v>
      </c>
      <c r="E22" s="8" t="str">
        <f>SUBSTITUTE(PROPER(TRIM(Dataset!C22)),"'S","'s")</f>
        <v>Nikon</v>
      </c>
      <c r="F22" s="8" t="str">
        <f t="shared" si="2"/>
        <v>Nikon Camera</v>
      </c>
      <c r="G22" s="10">
        <f>Dataset!D22</f>
        <v>700</v>
      </c>
      <c r="H22" s="8">
        <f>Dataset!E22</f>
        <v>50</v>
      </c>
      <c r="I22" s="8" t="str">
        <f>PROPER(TRIM(Dataset!F22))</f>
        <v>Electronics</v>
      </c>
    </row>
    <row r="23" spans="1:9" ht="15" customHeight="1" x14ac:dyDescent="0.25">
      <c r="A23" s="8" t="str">
        <f>Dataset!A23</f>
        <v>09-JAN-CA</v>
      </c>
      <c r="B23" s="9">
        <f t="shared" ca="1" si="0"/>
        <v>46031</v>
      </c>
      <c r="C23" s="8" t="str">
        <f t="shared" si="1"/>
        <v>CA</v>
      </c>
      <c r="D23" s="8" t="str">
        <f>PROPER(TRIM(Dataset!B23))</f>
        <v>Microwave</v>
      </c>
      <c r="E23" s="8" t="str">
        <f>SUBSTITUTE(PROPER(TRIM(Dataset!C23)),"'S","'s")</f>
        <v>Panasonic</v>
      </c>
      <c r="F23" s="8" t="str">
        <f t="shared" si="2"/>
        <v>Panasonic Microwave</v>
      </c>
      <c r="G23" s="10">
        <f>Dataset!D23</f>
        <v>80</v>
      </c>
      <c r="H23" s="8">
        <f>Dataset!E23</f>
        <v>20</v>
      </c>
      <c r="I23" s="8" t="str">
        <f>PROPER(TRIM(Dataset!F23))</f>
        <v>Kitchen</v>
      </c>
    </row>
    <row r="24" spans="1:9" ht="15" customHeight="1" x14ac:dyDescent="0.25">
      <c r="A24" s="8" t="str">
        <f>Dataset!A24</f>
        <v>19-JUL-BR</v>
      </c>
      <c r="B24" s="9">
        <f t="shared" ca="1" si="0"/>
        <v>46222</v>
      </c>
      <c r="C24" s="8" t="str">
        <f t="shared" si="1"/>
        <v>BR</v>
      </c>
      <c r="D24" s="8" t="str">
        <f>PROPER(TRIM(Dataset!B24))</f>
        <v>Fitness Tracker</v>
      </c>
      <c r="E24" s="8" t="str">
        <f>SUBSTITUTE(PROPER(TRIM(Dataset!C24)),"'S","'s")</f>
        <v>Xiaomi</v>
      </c>
      <c r="F24" s="8" t="str">
        <f t="shared" si="2"/>
        <v>Xiaomi Fitness Tracker</v>
      </c>
      <c r="G24" s="10">
        <f>Dataset!D24</f>
        <v>150</v>
      </c>
      <c r="H24" s="8">
        <f>Dataset!E24</f>
        <v>30</v>
      </c>
      <c r="I24" s="8" t="str">
        <f>PROPER(TRIM(Dataset!F24))</f>
        <v>Electronics</v>
      </c>
    </row>
    <row r="25" spans="1:9" ht="15" customHeight="1" x14ac:dyDescent="0.25">
      <c r="A25" s="8" t="str">
        <f>Dataset!A26</f>
        <v>29-SEP-CA</v>
      </c>
      <c r="B25" s="9">
        <f t="shared" ca="1" si="0"/>
        <v>46294</v>
      </c>
      <c r="C25" s="8" t="str">
        <f t="shared" si="1"/>
        <v>CA</v>
      </c>
      <c r="D25" s="8" t="str">
        <f>PROPER(TRIM(Dataset!B26))</f>
        <v>Smartphone</v>
      </c>
      <c r="E25" s="8" t="str">
        <f>SUBSTITUTE(PROPER(TRIM(Dataset!C26)),"'S","'s")</f>
        <v>Google</v>
      </c>
      <c r="F25" s="8" t="str">
        <f t="shared" si="2"/>
        <v>Google Smartphone</v>
      </c>
      <c r="G25" s="10">
        <f>Dataset!D26</f>
        <v>800</v>
      </c>
      <c r="H25" s="8">
        <f>Dataset!E26</f>
        <v>45</v>
      </c>
      <c r="I25" s="8" t="str">
        <f>PROPER(TRIM(Dataset!F26))</f>
        <v>Electronics</v>
      </c>
    </row>
    <row r="26" spans="1:9" ht="15" customHeight="1" x14ac:dyDescent="0.25">
      <c r="A26" s="8" t="str">
        <f>Dataset!A27</f>
        <v>03-JUN-CA</v>
      </c>
      <c r="B26" s="9">
        <f t="shared" ca="1" si="0"/>
        <v>46176</v>
      </c>
      <c r="C26" s="8" t="str">
        <f t="shared" si="1"/>
        <v>CA</v>
      </c>
      <c r="D26" s="8" t="str">
        <f>PROPER(TRIM(Dataset!B27))</f>
        <v>Sunglasses</v>
      </c>
      <c r="E26" s="8" t="str">
        <f>SUBSTITUTE(PROPER(TRIM(Dataset!C27)),"'S","'s")</f>
        <v>Ray-Ban</v>
      </c>
      <c r="F26" s="8" t="str">
        <f t="shared" si="2"/>
        <v>Ray-Ban Sunglasses</v>
      </c>
      <c r="G26" s="10">
        <f>Dataset!D27</f>
        <v>130</v>
      </c>
      <c r="H26" s="8">
        <f>Dataset!E27</f>
        <v>25</v>
      </c>
      <c r="I26" s="8" t="str">
        <f>PROPER(TRIM(Dataset!F27))</f>
        <v>Fashion</v>
      </c>
    </row>
    <row r="27" spans="1:9" ht="15" customHeight="1" x14ac:dyDescent="0.25">
      <c r="A27" s="8" t="str">
        <f>Dataset!A28</f>
        <v>11-JUL-CA</v>
      </c>
      <c r="B27" s="9">
        <f t="shared" ca="1" si="0"/>
        <v>46214</v>
      </c>
      <c r="C27" s="8" t="str">
        <f t="shared" si="1"/>
        <v>CA</v>
      </c>
      <c r="D27" s="8" t="str">
        <f>PROPER(TRIM(Dataset!B28))</f>
        <v>Blender</v>
      </c>
      <c r="E27" s="8" t="str">
        <f>SUBSTITUTE(PROPER(TRIM(Dataset!C28)),"'S","'s")</f>
        <v>Vitamix</v>
      </c>
      <c r="F27" s="8" t="str">
        <f t="shared" si="2"/>
        <v>Vitamix Blender</v>
      </c>
      <c r="G27" s="10">
        <f>Dataset!D28</f>
        <v>400</v>
      </c>
      <c r="H27" s="8">
        <f>Dataset!E28</f>
        <v>40</v>
      </c>
      <c r="I27" s="8" t="str">
        <f>PROPER(TRIM(Dataset!F28))</f>
        <v>Kitchen</v>
      </c>
    </row>
    <row r="28" spans="1:9" ht="15" customHeight="1" x14ac:dyDescent="0.25">
      <c r="A28" s="8" t="str">
        <f>Dataset!A29</f>
        <v>16-APR-ES</v>
      </c>
      <c r="B28" s="9">
        <f t="shared" ca="1" si="0"/>
        <v>46128</v>
      </c>
      <c r="C28" s="8" t="str">
        <f t="shared" si="1"/>
        <v>ES</v>
      </c>
      <c r="D28" s="8" t="str">
        <f>PROPER(TRIM(Dataset!B29))</f>
        <v>Headphones</v>
      </c>
      <c r="E28" s="8" t="str">
        <f>SUBSTITUTE(PROPER(TRIM(Dataset!C29)),"'S","'s")</f>
        <v>Bose</v>
      </c>
      <c r="F28" s="8" t="str">
        <f t="shared" si="2"/>
        <v>Bose Headphones</v>
      </c>
      <c r="G28" s="10">
        <f>Dataset!D29</f>
        <v>230</v>
      </c>
      <c r="H28" s="8">
        <f>Dataset!E29</f>
        <v>20</v>
      </c>
      <c r="I28" s="8" t="str">
        <f>PROPER(TRIM(Dataset!F29))</f>
        <v>Electronics</v>
      </c>
    </row>
    <row r="29" spans="1:9" ht="15" customHeight="1" x14ac:dyDescent="0.25">
      <c r="A29" s="8" t="str">
        <f>Dataset!A30</f>
        <v>07-MAR-CA</v>
      </c>
      <c r="B29" s="9">
        <f t="shared" ca="1" si="0"/>
        <v>46088</v>
      </c>
      <c r="C29" s="8" t="str">
        <f t="shared" si="1"/>
        <v>CA</v>
      </c>
      <c r="D29" s="8" t="str">
        <f>PROPER(TRIM(Dataset!B30))</f>
        <v>Dress</v>
      </c>
      <c r="E29" s="8" t="str">
        <f>SUBSTITUTE(PROPER(TRIM(Dataset!C30)),"'S","'s")</f>
        <v>Zara</v>
      </c>
      <c r="F29" s="8" t="str">
        <f t="shared" si="2"/>
        <v>Zara Dress</v>
      </c>
      <c r="G29" s="10">
        <f>Dataset!D30</f>
        <v>60</v>
      </c>
      <c r="H29" s="8">
        <f>Dataset!E30</f>
        <v>30</v>
      </c>
      <c r="I29" s="8" t="str">
        <f>PROPER(TRIM(Dataset!F30))</f>
        <v>Fashion</v>
      </c>
    </row>
    <row r="30" spans="1:9" ht="15" customHeight="1" x14ac:dyDescent="0.25">
      <c r="A30" s="8" t="str">
        <f>Dataset!A31</f>
        <v>13-APR-CA</v>
      </c>
      <c r="B30" s="9">
        <f t="shared" ca="1" si="0"/>
        <v>46125</v>
      </c>
      <c r="C30" s="8" t="str">
        <f t="shared" si="1"/>
        <v>CA</v>
      </c>
      <c r="D30" s="8" t="str">
        <f>PROPER(TRIM(Dataset!B31))</f>
        <v>Toaster</v>
      </c>
      <c r="E30" s="8" t="str">
        <f>SUBSTITUTE(PROPER(TRIM(Dataset!C31)),"'S","'s")</f>
        <v>Hamilton</v>
      </c>
      <c r="F30" s="8" t="str">
        <f t="shared" si="2"/>
        <v>Hamilton Toaster</v>
      </c>
      <c r="G30" s="10">
        <f>Dataset!D31</f>
        <v>40</v>
      </c>
      <c r="H30" s="8">
        <f>Dataset!E31</f>
        <v>10</v>
      </c>
      <c r="I30" s="8" t="str">
        <f>PROPER(TRIM(Dataset!F31))</f>
        <v>Kitchen</v>
      </c>
    </row>
    <row r="31" spans="1:9" ht="15" customHeight="1" x14ac:dyDescent="0.25">
      <c r="A31" s="8" t="str">
        <f>Dataset!A32</f>
        <v>24-MAY-CA</v>
      </c>
      <c r="B31" s="9">
        <f t="shared" ca="1" si="0"/>
        <v>46166</v>
      </c>
      <c r="C31" s="8" t="str">
        <f t="shared" si="1"/>
        <v>CA</v>
      </c>
      <c r="D31" s="8" t="str">
        <f>PROPER(TRIM(Dataset!B32))</f>
        <v>Fitness Tracker</v>
      </c>
      <c r="E31" s="8" t="str">
        <f>SUBSTITUTE(PROPER(TRIM(Dataset!C32)),"'S","'s")</f>
        <v>Garmin</v>
      </c>
      <c r="F31" s="8" t="str">
        <f t="shared" si="2"/>
        <v>Garmin Fitness Tracker</v>
      </c>
      <c r="G31" s="10">
        <f>Dataset!D32</f>
        <v>130</v>
      </c>
      <c r="H31" s="8">
        <f>Dataset!E32</f>
        <v>5</v>
      </c>
      <c r="I31" s="8" t="str">
        <f>PROPER(TRIM(Dataset!F32))</f>
        <v>Electronics</v>
      </c>
    </row>
    <row r="32" spans="1:9" ht="15" customHeight="1" x14ac:dyDescent="0.25">
      <c r="A32" s="8" t="str">
        <f>Dataset!A33</f>
        <v>02-DEC-CA</v>
      </c>
      <c r="B32" s="9">
        <f t="shared" ca="1" si="0"/>
        <v>46358</v>
      </c>
      <c r="C32" s="8" t="str">
        <f t="shared" si="1"/>
        <v>CA</v>
      </c>
      <c r="D32" s="8" t="str">
        <f>PROPER(TRIM(Dataset!B33))</f>
        <v>Jeans</v>
      </c>
      <c r="E32" s="8" t="str">
        <f>SUBSTITUTE(PROPER(TRIM(Dataset!C33)),"'S","'s")</f>
        <v>Levi's</v>
      </c>
      <c r="F32" s="8" t="str">
        <f t="shared" si="2"/>
        <v>Levi's Jeans</v>
      </c>
      <c r="G32" s="10">
        <f>Dataset!D33</f>
        <v>50</v>
      </c>
      <c r="H32" s="8">
        <f>Dataset!E33</f>
        <v>50</v>
      </c>
      <c r="I32" s="8" t="str">
        <f>PROPER(TRIM(Dataset!F33))</f>
        <v>Fashion</v>
      </c>
    </row>
    <row r="33" spans="1:9" ht="15" customHeight="1" x14ac:dyDescent="0.25">
      <c r="A33" s="8" t="str">
        <f>Dataset!A35</f>
        <v>09-JUL-FR</v>
      </c>
      <c r="B33" s="9">
        <f t="shared" ca="1" si="0"/>
        <v>46212</v>
      </c>
      <c r="C33" s="8" t="str">
        <f t="shared" si="1"/>
        <v>FR</v>
      </c>
      <c r="D33" s="8" t="str">
        <f>PROPER(TRIM(Dataset!B35))</f>
        <v>Watch</v>
      </c>
      <c r="E33" s="8" t="str">
        <f>SUBSTITUTE(PROPER(TRIM(Dataset!C35)),"'S","'s")</f>
        <v>Casio</v>
      </c>
      <c r="F33" s="8" t="str">
        <f t="shared" si="2"/>
        <v>Casio Watch</v>
      </c>
      <c r="G33" s="10">
        <f>Dataset!D35</f>
        <v>100</v>
      </c>
      <c r="H33" s="8">
        <f>Dataset!E35</f>
        <v>20</v>
      </c>
      <c r="I33" s="8" t="str">
        <f>PROPER(TRIM(Dataset!F35))</f>
        <v>Accessories</v>
      </c>
    </row>
  </sheetData>
  <conditionalFormatting sqref="G2:G33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{76FB5A99-B170-4A71-B0F2-CAC34F232EB7}</x14:id>
        </ext>
      </extLst>
    </cfRule>
  </conditionalFormatting>
  <conditionalFormatting sqref="I2:I33">
    <cfRule type="expression" dxfId="0" priority="4">
      <formula>$I2="Electronics"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FB5A99-B170-4A71-B0F2-CAC34F232EB7}">
            <x14:dataBar border="1" negativeBarBorderColorSameAsPositive="0" axisPosition="none">
              <x14:cfvo type="min"/>
              <x14:cfvo type="max"/>
              <x14:borderColor rgb="FF008AEF"/>
              <x14:negativeFillColor rgb="FF63C384"/>
              <x14:negativeBorderColor rgb="FF63C384"/>
            </x14:dataBar>
          </x14:cfRule>
          <xm:sqref>G2:G33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A53"/>
  <sheetViews>
    <sheetView zoomScaleNormal="100" workbookViewId="0">
      <selection activeCell="A49" sqref="A49"/>
    </sheetView>
  </sheetViews>
  <sheetFormatPr defaultColWidth="8.6640625" defaultRowHeight="13.2" x14ac:dyDescent="0.25"/>
  <cols>
    <col min="1" max="1" width="114.88671875" customWidth="1"/>
  </cols>
  <sheetData>
    <row r="1" spans="1:1" ht="22.5" customHeight="1" x14ac:dyDescent="0.25">
      <c r="A1" s="6"/>
    </row>
    <row r="2" spans="1:1" ht="12.75" customHeight="1" x14ac:dyDescent="0.25">
      <c r="A2" s="15" t="s">
        <v>96</v>
      </c>
    </row>
    <row r="3" spans="1:1" ht="15" customHeight="1" x14ac:dyDescent="0.25"/>
    <row r="4" spans="1:1" ht="15" customHeight="1" x14ac:dyDescent="0.25">
      <c r="A4" s="11" t="s">
        <v>101</v>
      </c>
    </row>
    <row r="5" spans="1:1" ht="15" customHeight="1" x14ac:dyDescent="0.25">
      <c r="A5" s="12"/>
    </row>
    <row r="6" spans="1:1" ht="15" customHeight="1" x14ac:dyDescent="0.25">
      <c r="A6" s="13" t="s">
        <v>102</v>
      </c>
    </row>
    <row r="7" spans="1:1" ht="13.8" x14ac:dyDescent="0.25">
      <c r="A7" s="13" t="s">
        <v>103</v>
      </c>
    </row>
    <row r="9" spans="1:1" ht="17.399999999999999" x14ac:dyDescent="0.25">
      <c r="A9" s="15" t="s">
        <v>97</v>
      </c>
    </row>
    <row r="11" spans="1:1" ht="13.8" x14ac:dyDescent="0.25">
      <c r="A11" s="13" t="s">
        <v>104</v>
      </c>
    </row>
    <row r="12" spans="1:1" ht="13.8" x14ac:dyDescent="0.25">
      <c r="A12" s="13" t="s">
        <v>105</v>
      </c>
    </row>
    <row r="13" spans="1:1" ht="13.8" x14ac:dyDescent="0.25">
      <c r="A13" s="13" t="s">
        <v>106</v>
      </c>
    </row>
    <row r="15" spans="1:1" ht="17.399999999999999" x14ac:dyDescent="0.25">
      <c r="A15" s="15" t="s">
        <v>98</v>
      </c>
    </row>
    <row r="17" spans="1:1" ht="13.8" x14ac:dyDescent="0.25">
      <c r="A17" s="11" t="s">
        <v>109</v>
      </c>
    </row>
    <row r="19" spans="1:1" ht="13.8" x14ac:dyDescent="0.25">
      <c r="A19" s="11" t="s">
        <v>110</v>
      </c>
    </row>
    <row r="33" spans="1:1" ht="17.399999999999999" x14ac:dyDescent="0.3">
      <c r="A33" s="14" t="s">
        <v>99</v>
      </c>
    </row>
    <row r="35" spans="1:1" ht="13.8" x14ac:dyDescent="0.25">
      <c r="A35" s="17" t="s">
        <v>107</v>
      </c>
    </row>
    <row r="36" spans="1:1" x14ac:dyDescent="0.25">
      <c r="A36" s="16"/>
    </row>
    <row r="37" spans="1:1" ht="13.8" x14ac:dyDescent="0.25">
      <c r="A37" s="18" t="s">
        <v>108</v>
      </c>
    </row>
    <row r="39" spans="1:1" ht="13.8" x14ac:dyDescent="0.25">
      <c r="A39" s="20" t="s">
        <v>114</v>
      </c>
    </row>
    <row r="41" spans="1:1" ht="17.399999999999999" x14ac:dyDescent="0.3">
      <c r="A41" s="14" t="s">
        <v>100</v>
      </c>
    </row>
    <row r="43" spans="1:1" ht="13.8" x14ac:dyDescent="0.25">
      <c r="A43" s="18" t="s">
        <v>111</v>
      </c>
    </row>
    <row r="44" spans="1:1" ht="13.8" x14ac:dyDescent="0.25">
      <c r="A44" s="18" t="s">
        <v>115</v>
      </c>
    </row>
    <row r="47" spans="1:1" ht="17.399999999999999" x14ac:dyDescent="0.3">
      <c r="A47" s="14" t="s">
        <v>112</v>
      </c>
    </row>
    <row r="49" spans="1:1" ht="13.8" x14ac:dyDescent="0.25">
      <c r="A49" s="19" t="s">
        <v>113</v>
      </c>
    </row>
    <row r="51" spans="1:1" ht="13.8" x14ac:dyDescent="0.25">
      <c r="A51" s="21" t="s">
        <v>116</v>
      </c>
    </row>
    <row r="53" spans="1:1" ht="13.8" x14ac:dyDescent="0.25">
      <c r="A53" s="21" t="s">
        <v>117</v>
      </c>
    </row>
  </sheetData>
  <pageMargins left="0.7" right="0.7" top="0.75" bottom="0.75" header="0.511811023622047" footer="0.511811023622047"/>
  <pageSetup paperSize="9" orientation="portrait" horizontalDpi="300" verticalDpi="300"/>
  <drawing r:id="rId1"/>
  <legacyDrawing r:id="rId2"/>
  <controls>
    <mc:AlternateContent xmlns:mc="http://schemas.openxmlformats.org/markup-compatibility/2006">
      <mc:Choice Requires="x14">
        <control shapeId="3073" r:id="rId3" name="Control 1">
          <controlPr defaultSize="0" r:id="rId4">
            <anchor moveWithCells="1">
              <from>
                <xdr:col>0</xdr:col>
                <xdr:colOff>0</xdr:colOff>
                <xdr:row>35</xdr:row>
                <xdr:rowOff>0</xdr:rowOff>
              </from>
              <to>
                <xdr:col>0</xdr:col>
                <xdr:colOff>228600</xdr:colOff>
                <xdr:row>36</xdr:row>
                <xdr:rowOff>38100</xdr:rowOff>
              </to>
            </anchor>
          </controlPr>
        </control>
      </mc:Choice>
      <mc:Fallback>
        <control shapeId="3073" r:id="rId3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Excel Assignment 2 – Data Explo</vt:lpstr>
      <vt:lpstr>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KARTHIKEYAN MALAIRAJAN</cp:lastModifiedBy>
  <cp:revision>0</cp:revision>
  <dcterms:created xsi:type="dcterms:W3CDTF">2026-07-01T16:00:31Z</dcterms:created>
  <dcterms:modified xsi:type="dcterms:W3CDTF">2026-07-02T16:36:58Z</dcterms:modified>
  <dc:language>en-US</dc:language>
</cp:coreProperties>
</file>