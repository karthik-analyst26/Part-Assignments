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13_ncr:1_{56999DD4-E5AE-44D9-B8F9-FB3D7F9158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Assignment - 1" sheetId="3" r:id="rId1"/>
    <sheet name="Observation" sheetId="4" r:id="rId2"/>
    <sheet name="Datas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M40" i="3" l="1"/>
  <c r="M38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" i="3"/>
  <c r="H4" i="3"/>
  <c r="H5" i="3"/>
  <c r="H6" i="3"/>
  <c r="H7" i="3"/>
  <c r="H8" i="3"/>
  <c r="H9" i="3"/>
  <c r="H10" i="3"/>
  <c r="H2" i="3"/>
  <c r="G9" i="3"/>
  <c r="G23" i="3"/>
  <c r="G28" i="3"/>
  <c r="G17" i="3"/>
  <c r="G34" i="3"/>
  <c r="G18" i="3"/>
  <c r="G20" i="3"/>
  <c r="G30" i="3"/>
  <c r="G5" i="3"/>
  <c r="G35" i="3"/>
  <c r="G13" i="3"/>
  <c r="G21" i="3"/>
  <c r="G29" i="3"/>
  <c r="G10" i="3"/>
  <c r="G7" i="3"/>
  <c r="G3" i="3"/>
  <c r="G15" i="3"/>
  <c r="G6" i="3"/>
  <c r="G24" i="3"/>
  <c r="G33" i="3"/>
  <c r="G16" i="3"/>
  <c r="G31" i="3"/>
  <c r="G19" i="3"/>
  <c r="G4" i="3"/>
  <c r="G12" i="3"/>
  <c r="G25" i="3"/>
  <c r="G32" i="3"/>
  <c r="G8" i="3"/>
  <c r="G26" i="3"/>
  <c r="G27" i="3"/>
  <c r="G11" i="3"/>
  <c r="G22" i="3"/>
  <c r="G14" i="3"/>
  <c r="G2" i="3"/>
  <c r="D48" i="3"/>
  <c r="D46" i="3"/>
  <c r="D44" i="3"/>
  <c r="D42" i="3"/>
  <c r="D40" i="3"/>
</calcChain>
</file>

<file path=xl/sharedStrings.xml><?xml version="1.0" encoding="utf-8"?>
<sst xmlns="http://schemas.openxmlformats.org/spreadsheetml/2006/main" count="305" uniqueCount="114">
  <si>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</si>
  <si>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</si>
  <si>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</si>
  <si>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</si>
  <si>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</si>
  <si>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</si>
  <si>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</si>
  <si>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</si>
  <si>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</si>
  <si>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</si>
  <si>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</si>
  <si>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</si>
  <si>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</si>
  <si>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</si>
  <si>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</si>
  <si>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</si>
  <si>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</si>
  <si>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</si>
  <si>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</si>
  <si>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</si>
  <si>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</si>
  <si>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</si>
  <si>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</si>
  <si>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</si>
  <si>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</si>
  <si>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</si>
  <si>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</si>
  <si>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</si>
  <si>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</si>
  <si>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</si>
  <si>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</si>
  <si>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</si>
  <si>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</si>
  <si>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</si>
  <si>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</si>
  <si>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</si>
  <si>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</si>
  <si>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</si>
  <si>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</si>
  <si>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</si>
  <si>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</si>
  <si>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</si>
  <si>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</si>
  <si>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</si>
  <si>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</si>
  <si>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</si>
  <si>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</si>
  <si>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</si>
  <si>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</si>
  <si>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</si>
  <si>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</si>
  <si>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</si>
  <si>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</si>
  <si>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</si>
  <si>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</si>
  <si>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</si>
  <si>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</si>
  <si>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</si>
  <si>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</si>
  <si>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</si>
  <si>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</si>
  <si>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</si>
  <si>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</si>
  <si>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</si>
  <si>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</si>
  <si>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</si>
  <si>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</si>
  <si>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</si>
  <si>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</si>
  <si>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</si>
  <si>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</si>
  <si>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</si>
  <si>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</si>
  <si>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</si>
  <si>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</si>
  <si>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</si>
  <si>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</si>
  <si>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</si>
  <si>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</si>
  <si>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</si>
  <si>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</si>
  <si>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</si>
  <si>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</si>
  <si>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</si>
  <si>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</si>
  <si>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</si>
  <si>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</si>
  <si>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</si>
  <si>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</si>
  <si>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</si>
  <si>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</si>
  <si>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</si>
  <si>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</si>
  <si>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Price </t>
  </si>
  <si>
    <t>Number of Products</t>
  </si>
  <si>
    <t>Average Price</t>
  </si>
  <si>
    <t xml:space="preserve">Minimum Price </t>
  </si>
  <si>
    <t>Maximum Price</t>
  </si>
  <si>
    <t>Price Range</t>
  </si>
  <si>
    <t>Total Price for Electronics</t>
  </si>
  <si>
    <t>Day</t>
  </si>
  <si>
    <t>Country Code</t>
  </si>
  <si>
    <t>Month</t>
  </si>
  <si>
    <t>Count of Products with Price &lt; 100</t>
  </si>
  <si>
    <t>10. Excel functions helped analyze and summarize the dataset effectively</t>
  </si>
  <si>
    <t>1. The dataset contains 34 product records.</t>
  </si>
  <si>
    <t>2. The total price of all products is 10100.</t>
  </si>
  <si>
    <t>3. The average price is 297.06.</t>
  </si>
  <si>
    <t>4. Prices range from 30 to 1000.</t>
  </si>
  <si>
    <t>5. Products priced 500 or more are classified as High Price.</t>
  </si>
  <si>
    <t>6. Electronics has the highest total price value (8050).</t>
  </si>
  <si>
    <t>7. There are 11 products priced below 100.</t>
  </si>
  <si>
    <t>8. The Product ID includes day, month, and country code.</t>
  </si>
  <si>
    <t>9. LEFT, MID, and RIGHT were used to extract text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</si>
</sst>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theme="1"/>
      <name val="Arial"/>
      <family val="2"/>
    </font>
    <font>
      <sz val="8"/>
      <color rgb="FF1B1C1F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4"/>
      <color rgb="FF1B1C1F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2" fontId="4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left"/>
    </xf>
    <xf numFmtId="0" fontId="6" fillId="0" borderId="0" xfId="0" applyFont="1"/>
    <xf numFmtId="0" fontId="1" fillId="2" borderId="0" xfId="0" applyFont="1" applyFill="1" applyAlignment="1">
      <alignment horizontal="left" vertical="center"/>
    </xf>
    <xf numFmtId="0" fontId="7" fillId="0" borderId="0" xfId="0" applyFont="1"/>
    <xf numFmtId="0" fontId="8" fillId="5" borderId="0" xfId="0" applyFont="1" applyFill="1" applyAlignment="1">
      <alignment horizontal="left" vertical="center" wrapText="1" indent="1"/>
    </xf>
    <xf numFmtId="0" fontId="9" fillId="5" borderId="0" xfId="0" applyFon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D0EC4A-938B-4F64-A3D4-080FF4CE74DB}" name="Table2" displayName="Table2" ref="A1:J35" totalsRowShown="0" headerRowDxfId="8" dataDxfId="9">
  <autoFilter ref="A1:J35" xr:uid="{26D0EC4A-938B-4F64-A3D4-080FF4CE74DB}"/>
  <sortState xmlns:xlrd2="http://schemas.microsoft.com/office/spreadsheetml/2017/richdata2" ref="A2:G35">
    <sortCondition ref="F2:F35"/>
  </sortState>
  <tableColumns count="10">
    <tableColumn id="1" xr3:uid="{DB092137-6B7D-4B26-A35F-1C950B6392E9}" name="Product ID" dataDxfId="11"/>
    <tableColumn id="2" xr3:uid="{CC4FF292-D939-4D00-881D-AD080C702A85}" name="Product Name" dataDxfId="10"/>
    <tableColumn id="3" xr3:uid="{8E8859C7-706E-4476-8B51-306F823913FC}" name="Brand Name" dataDxfId="7"/>
    <tableColumn id="4" xr3:uid="{25C03797-8820-4D3E-9491-57AF1689E7DC}" name="Price ($)" dataDxfId="5"/>
    <tableColumn id="5" xr3:uid="{1A675EF7-364D-41F4-BB82-EE6EB37A5A85}" name="Quantity" dataDxfId="6"/>
    <tableColumn id="6" xr3:uid="{CB7C078E-6661-4EA1-9B37-754D92D674B8}" name="Category" dataDxfId="4"/>
    <tableColumn id="7" xr3:uid="{C3F98613-E530-4D02-B6E9-692135EEBEDB}" name="Price Range" dataDxfId="3">
      <calculatedColumnFormula>IF(D2&gt;=500,"High Price","Standard Price")</calculatedColumnFormula>
    </tableColumn>
    <tableColumn id="8" xr3:uid="{1317B2A9-A986-41DA-91C0-1F4B3F6F6D82}" name="Day" dataDxfId="2">
      <calculatedColumnFormula>LEFT(Table2[[#This Row],[Product ID]],2)</calculatedColumnFormula>
    </tableColumn>
    <tableColumn id="9" xr3:uid="{15A252FE-B963-436A-97B2-AE0B1AB3EABE}" name="Country Code" dataDxfId="1">
      <calculatedColumnFormula>RIGHT(Table2[[#This Row],[Product ID]],2)</calculatedColumnFormula>
    </tableColumn>
    <tableColumn id="10" xr3:uid="{0B25DB65-8FB5-4A9D-AC2D-89BBC9638C66}" name="Month" dataDxfId="0">
      <calculatedColumnFormula>MID(Table2[[#This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4E6F-9982-4EA1-B547-E73B612A81D4}">
  <sheetPr>
    <outlinePr summaryBelow="0" summaryRight="0"/>
  </sheetPr>
  <dimension ref="A1:M1000"/>
  <sheetViews>
    <sheetView tabSelected="1" topLeftCell="B1" workbookViewId="0">
      <selection activeCell="I32" sqref="I32"/>
    </sheetView>
  </sheetViews>
  <sheetFormatPr defaultColWidth="12.6640625" defaultRowHeight="15" customHeight="1" x14ac:dyDescent="0.25"/>
  <cols>
    <col min="1" max="1" width="15.77734375" customWidth="1"/>
    <col min="2" max="2" width="18.5546875" customWidth="1"/>
    <col min="3" max="3" width="21.21875" customWidth="1"/>
    <col min="4" max="4" width="10.77734375" style="9" customWidth="1"/>
    <col min="6" max="6" width="12.6640625" style="13"/>
    <col min="7" max="7" width="15.44140625" style="13" customWidth="1"/>
    <col min="8" max="8" width="12.6640625" style="9"/>
    <col min="9" max="9" width="17.21875" style="9" customWidth="1"/>
    <col min="10" max="10" width="13" style="9" customWidth="1"/>
    <col min="12" max="12" width="34.5546875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0" t="s">
        <v>5</v>
      </c>
      <c r="G1" s="20" t="s">
        <v>98</v>
      </c>
      <c r="H1" s="22" t="s">
        <v>100</v>
      </c>
      <c r="I1" s="10" t="s">
        <v>101</v>
      </c>
      <c r="J1" s="10" t="s">
        <v>102</v>
      </c>
    </row>
    <row r="2" spans="1:10" ht="15.75" customHeight="1" x14ac:dyDescent="0.25">
      <c r="A2" s="4" t="s">
        <v>90</v>
      </c>
      <c r="B2" s="4" t="s">
        <v>91</v>
      </c>
      <c r="C2" s="4" t="s">
        <v>92</v>
      </c>
      <c r="D2" s="8">
        <v>100</v>
      </c>
      <c r="E2" s="4">
        <v>20</v>
      </c>
      <c r="F2" s="12" t="s">
        <v>53</v>
      </c>
      <c r="G2" s="18" t="str">
        <f>IF(D2&gt;=500,"High Price","Standard Price")</f>
        <v>Standard Price</v>
      </c>
      <c r="H2" s="8" t="str">
        <f>LEFT(Table2[[#This Row],[Product ID]],2)</f>
        <v>09</v>
      </c>
      <c r="I2" s="8" t="str">
        <f>RIGHT(Table2[[#This Row],[Product ID]],2)</f>
        <v>FR</v>
      </c>
      <c r="J2" s="8" t="str">
        <f>MID(Table2[[#This Row],[Product ID]],4,3)</f>
        <v>JUL</v>
      </c>
    </row>
    <row r="3" spans="1:10" ht="15.75" customHeight="1" x14ac:dyDescent="0.25">
      <c r="A3" s="4" t="s">
        <v>50</v>
      </c>
      <c r="B3" s="4" t="s">
        <v>51</v>
      </c>
      <c r="C3" s="4" t="s">
        <v>52</v>
      </c>
      <c r="D3" s="8">
        <v>50</v>
      </c>
      <c r="E3" s="4">
        <v>35</v>
      </c>
      <c r="F3" s="12" t="s">
        <v>53</v>
      </c>
      <c r="G3" s="18" t="str">
        <f>IF(D3&gt;=500,"High Price","Standard Price")</f>
        <v>Standard Price</v>
      </c>
      <c r="H3" s="8" t="str">
        <f>LEFT(Table2[[#This Row],[Product ID]],2)</f>
        <v>21</v>
      </c>
      <c r="I3" s="8" t="str">
        <f>RIGHT(Table2[[#This Row],[Product ID]],2)</f>
        <v>CA</v>
      </c>
      <c r="J3" s="8" t="str">
        <f>MID(Table2[[#This Row],[Product ID]],4,3)</f>
        <v>AUG</v>
      </c>
    </row>
    <row r="4" spans="1:10" ht="15.75" customHeight="1" x14ac:dyDescent="0.25">
      <c r="A4" s="4" t="s">
        <v>50</v>
      </c>
      <c r="B4" s="4" t="s">
        <v>51</v>
      </c>
      <c r="C4" s="4" t="s">
        <v>52</v>
      </c>
      <c r="D4" s="8">
        <v>50</v>
      </c>
      <c r="E4" s="4">
        <v>35</v>
      </c>
      <c r="F4" s="12" t="s">
        <v>53</v>
      </c>
      <c r="G4" s="18" t="str">
        <f>IF(D4&gt;=500,"High Price","Standard Price")</f>
        <v>Standard Price</v>
      </c>
      <c r="H4" s="8" t="str">
        <f>LEFT(Table2[[#This Row],[Product ID]],2)</f>
        <v>21</v>
      </c>
      <c r="I4" s="8" t="str">
        <f>RIGHT(Table2[[#This Row],[Product ID]],2)</f>
        <v>CA</v>
      </c>
      <c r="J4" s="8" t="str">
        <f>MID(Table2[[#This Row],[Product ID]],4,3)</f>
        <v>AUG</v>
      </c>
    </row>
    <row r="5" spans="1:10" ht="15.75" customHeight="1" x14ac:dyDescent="0.25">
      <c r="A5" s="3" t="s">
        <v>34</v>
      </c>
      <c r="B5" s="3" t="s">
        <v>35</v>
      </c>
      <c r="C5" s="3" t="s">
        <v>36</v>
      </c>
      <c r="D5" s="7">
        <v>500</v>
      </c>
      <c r="E5" s="3">
        <v>50</v>
      </c>
      <c r="F5" s="11" t="s">
        <v>9</v>
      </c>
      <c r="G5" s="18" t="str">
        <f>IF(D5&gt;=500,"High Price","Standard Price")</f>
        <v>High Price</v>
      </c>
      <c r="H5" s="8" t="str">
        <f>LEFT(Table2[[#This Row],[Product ID]],2)</f>
        <v>05</v>
      </c>
      <c r="I5" s="8" t="str">
        <f>RIGHT(Table2[[#This Row],[Product ID]],2)</f>
        <v>UK</v>
      </c>
      <c r="J5" s="8" t="str">
        <f>MID(Table2[[#This Row],[Product ID]],4,3)</f>
        <v>SEP</v>
      </c>
    </row>
    <row r="6" spans="1:10" ht="15.75" customHeight="1" x14ac:dyDescent="0.25">
      <c r="A6" s="4" t="s">
        <v>56</v>
      </c>
      <c r="B6" s="4" t="s">
        <v>7</v>
      </c>
      <c r="C6" s="4" t="s">
        <v>57</v>
      </c>
      <c r="D6" s="8">
        <v>980</v>
      </c>
      <c r="E6" s="4">
        <v>10</v>
      </c>
      <c r="F6" s="12" t="s">
        <v>9</v>
      </c>
      <c r="G6" s="18" t="str">
        <f>IF(D6&gt;=500,"High Price","Standard Price")</f>
        <v>High Price</v>
      </c>
      <c r="H6" s="8" t="str">
        <f>LEFT(Table2[[#This Row],[Product ID]],2)</f>
        <v>27</v>
      </c>
      <c r="I6" s="8" t="str">
        <f>RIGHT(Table2[[#This Row],[Product ID]],2)</f>
        <v>IT</v>
      </c>
      <c r="J6" s="8" t="str">
        <f>MID(Table2[[#This Row],[Product ID]],4,3)</f>
        <v>JAN</v>
      </c>
    </row>
    <row r="7" spans="1:10" ht="15.75" customHeight="1" x14ac:dyDescent="0.25">
      <c r="A7" s="3" t="s">
        <v>48</v>
      </c>
      <c r="B7" s="3" t="s">
        <v>26</v>
      </c>
      <c r="C7" s="3" t="s">
        <v>49</v>
      </c>
      <c r="D7" s="7">
        <v>250</v>
      </c>
      <c r="E7" s="3">
        <v>20</v>
      </c>
      <c r="F7" s="11" t="s">
        <v>9</v>
      </c>
      <c r="G7" s="18" t="str">
        <f>IF(D7&gt;=500,"High Price","Standard Price")</f>
        <v>Standard Price</v>
      </c>
      <c r="H7" s="8" t="str">
        <f>LEFT(Table2[[#This Row],[Product ID]],2)</f>
        <v>16</v>
      </c>
      <c r="I7" s="8" t="str">
        <f>RIGHT(Table2[[#This Row],[Product ID]],2)</f>
        <v>ES</v>
      </c>
      <c r="J7" s="8" t="str">
        <f>MID(Table2[[#This Row],[Product ID]],4,3)</f>
        <v>APR</v>
      </c>
    </row>
    <row r="8" spans="1:10" ht="15.75" customHeight="1" x14ac:dyDescent="0.25">
      <c r="A8" s="4" t="s">
        <v>48</v>
      </c>
      <c r="B8" s="4" t="s">
        <v>26</v>
      </c>
      <c r="C8" s="4" t="s">
        <v>49</v>
      </c>
      <c r="D8" s="8">
        <v>230</v>
      </c>
      <c r="E8" s="4">
        <v>20</v>
      </c>
      <c r="F8" s="12" t="s">
        <v>9</v>
      </c>
      <c r="G8" s="18" t="str">
        <f>IF(D8&gt;=500,"High Price","Standard Price")</f>
        <v>Standard Price</v>
      </c>
      <c r="H8" s="8" t="str">
        <f>LEFT(Table2[[#This Row],[Product ID]],2)</f>
        <v>16</v>
      </c>
      <c r="I8" s="8" t="str">
        <f>RIGHT(Table2[[#This Row],[Product ID]],2)</f>
        <v>ES</v>
      </c>
      <c r="J8" s="8" t="str">
        <f>MID(Table2[[#This Row],[Product ID]],4,3)</f>
        <v>APR</v>
      </c>
    </row>
    <row r="9" spans="1:10" ht="15.75" customHeight="1" x14ac:dyDescent="0.25">
      <c r="A9" s="3" t="s">
        <v>6</v>
      </c>
      <c r="B9" s="3" t="s">
        <v>7</v>
      </c>
      <c r="C9" s="3" t="s">
        <v>8</v>
      </c>
      <c r="D9" s="7">
        <v>1000</v>
      </c>
      <c r="E9" s="3">
        <v>30</v>
      </c>
      <c r="F9" s="11" t="s">
        <v>9</v>
      </c>
      <c r="G9" s="18" t="str">
        <f>IF(D9&gt;=500,"High Price","Standard Price")</f>
        <v>High Price</v>
      </c>
      <c r="H9" s="8" t="str">
        <f>LEFT(Table2[[#This Row],[Product ID]],2)</f>
        <v>28</v>
      </c>
      <c r="I9" s="8" t="str">
        <f>RIGHT(Table2[[#This Row],[Product ID]],2)</f>
        <v>US</v>
      </c>
      <c r="J9" s="8" t="str">
        <f>MID(Table2[[#This Row],[Product ID]],4,3)</f>
        <v>JAN</v>
      </c>
    </row>
    <row r="10" spans="1:10" ht="15.75" customHeight="1" x14ac:dyDescent="0.25">
      <c r="A10" s="4" t="s">
        <v>45</v>
      </c>
      <c r="B10" s="4" t="s">
        <v>46</v>
      </c>
      <c r="C10" s="4" t="s">
        <v>47</v>
      </c>
      <c r="D10" s="8">
        <v>150</v>
      </c>
      <c r="E10" s="4">
        <v>15</v>
      </c>
      <c r="F10" s="12" t="s">
        <v>9</v>
      </c>
      <c r="G10" s="18" t="str">
        <f>IF(D10&gt;=500,"High Price","Standard Price")</f>
        <v>Standard Price</v>
      </c>
      <c r="H10" s="8" t="str">
        <f>LEFT(Table2[[#This Row],[Product ID]],2)</f>
        <v>18</v>
      </c>
      <c r="I10" s="8" t="str">
        <f>RIGHT(Table2[[#This Row],[Product ID]],2)</f>
        <v>CA</v>
      </c>
      <c r="J10" s="8" t="str">
        <f>MID(Table2[[#This Row],[Product ID]],4,3)</f>
        <v>FEB</v>
      </c>
    </row>
    <row r="11" spans="1:10" ht="15.75" customHeight="1" x14ac:dyDescent="0.25">
      <c r="A11" s="3" t="s">
        <v>85</v>
      </c>
      <c r="B11" s="3" t="s">
        <v>71</v>
      </c>
      <c r="C11" s="3" t="s">
        <v>86</v>
      </c>
      <c r="D11" s="7">
        <v>130</v>
      </c>
      <c r="E11" s="3">
        <v>5</v>
      </c>
      <c r="F11" s="11" t="s">
        <v>9</v>
      </c>
      <c r="G11" s="18" t="str">
        <f>IF(D11&gt;=500,"High Price","Standard Price")</f>
        <v>Standard Price</v>
      </c>
      <c r="H11" s="8" t="str">
        <f>LEFT(Table2[[#This Row],[Product ID]],2)</f>
        <v>24</v>
      </c>
      <c r="I11" s="8" t="str">
        <f>RIGHT(Table2[[#This Row],[Product ID]],2)</f>
        <v>CA</v>
      </c>
      <c r="J11" s="8" t="str">
        <f>MID(Table2[[#This Row],[Product ID]],4,3)</f>
        <v>MAY</v>
      </c>
    </row>
    <row r="12" spans="1:10" ht="15.75" customHeight="1" x14ac:dyDescent="0.25">
      <c r="A12" s="3" t="s">
        <v>73</v>
      </c>
      <c r="B12" s="3" t="s">
        <v>19</v>
      </c>
      <c r="C12" s="3" t="s">
        <v>74</v>
      </c>
      <c r="D12" s="7">
        <v>800</v>
      </c>
      <c r="E12" s="3">
        <v>45</v>
      </c>
      <c r="F12" s="11" t="s">
        <v>9</v>
      </c>
      <c r="G12" s="18" t="str">
        <f>IF(D12&gt;=500,"High Price","Standard Price")</f>
        <v>High Price</v>
      </c>
      <c r="H12" s="8" t="str">
        <f>LEFT(Table2[[#This Row],[Product ID]],2)</f>
        <v>29</v>
      </c>
      <c r="I12" s="8" t="str">
        <f>RIGHT(Table2[[#This Row],[Product ID]],2)</f>
        <v>CA</v>
      </c>
      <c r="J12" s="8" t="str">
        <f>MID(Table2[[#This Row],[Product ID]],4,3)</f>
        <v>SEP</v>
      </c>
    </row>
    <row r="13" spans="1:10" ht="15.75" customHeight="1" x14ac:dyDescent="0.25">
      <c r="A13" s="3" t="s">
        <v>40</v>
      </c>
      <c r="B13" s="3" t="s">
        <v>7</v>
      </c>
      <c r="C13" s="3" t="s">
        <v>41</v>
      </c>
      <c r="D13" s="7">
        <v>950</v>
      </c>
      <c r="E13" s="3">
        <v>25</v>
      </c>
      <c r="F13" s="11" t="s">
        <v>9</v>
      </c>
      <c r="G13" s="18" t="str">
        <f>IF(D13&gt;=500,"High Price","Standard Price")</f>
        <v>High Price</v>
      </c>
      <c r="H13" s="8" t="str">
        <f>LEFT(Table2[[#This Row],[Product ID]],2)</f>
        <v>17</v>
      </c>
      <c r="I13" s="8" t="str">
        <f>RIGHT(Table2[[#This Row],[Product ID]],2)</f>
        <v>IN</v>
      </c>
      <c r="J13" s="8" t="str">
        <f>MID(Table2[[#This Row],[Product ID]],4,3)</f>
        <v>JUN</v>
      </c>
    </row>
    <row r="14" spans="1:10" ht="15.75" customHeight="1" x14ac:dyDescent="0.25">
      <c r="A14" s="3" t="s">
        <v>40</v>
      </c>
      <c r="B14" s="3" t="s">
        <v>7</v>
      </c>
      <c r="C14" s="3" t="s">
        <v>41</v>
      </c>
      <c r="D14" s="7">
        <v>950</v>
      </c>
      <c r="E14" s="3">
        <v>25</v>
      </c>
      <c r="F14" s="11" t="s">
        <v>9</v>
      </c>
      <c r="G14" s="18" t="str">
        <f>IF(D14&gt;=500,"High Price","Standard Price")</f>
        <v>High Price</v>
      </c>
      <c r="H14" s="8" t="str">
        <f>LEFT(Table2[[#This Row],[Product ID]],2)</f>
        <v>17</v>
      </c>
      <c r="I14" s="8" t="str">
        <f>RIGHT(Table2[[#This Row],[Product ID]],2)</f>
        <v>IN</v>
      </c>
      <c r="J14" s="8" t="str">
        <f>MID(Table2[[#This Row],[Product ID]],4,3)</f>
        <v>JUN</v>
      </c>
    </row>
    <row r="15" spans="1:10" ht="15.75" customHeight="1" x14ac:dyDescent="0.25">
      <c r="A15" s="3" t="s">
        <v>54</v>
      </c>
      <c r="B15" s="3" t="s">
        <v>46</v>
      </c>
      <c r="C15" s="3" t="s">
        <v>55</v>
      </c>
      <c r="D15" s="7">
        <v>160</v>
      </c>
      <c r="E15" s="3">
        <v>15</v>
      </c>
      <c r="F15" s="11" t="s">
        <v>9</v>
      </c>
      <c r="G15" s="18" t="str">
        <f>IF(D15&gt;=500,"High Price","Standard Price")</f>
        <v>Standard Price</v>
      </c>
      <c r="H15" s="8" t="str">
        <f>LEFT(Table2[[#This Row],[Product ID]],2)</f>
        <v>20</v>
      </c>
      <c r="I15" s="8" t="str">
        <f>RIGHT(Table2[[#This Row],[Product ID]],2)</f>
        <v>CN</v>
      </c>
      <c r="J15" s="8" t="str">
        <f>MID(Table2[[#This Row],[Product ID]],4,3)</f>
        <v>AUG</v>
      </c>
    </row>
    <row r="16" spans="1:10" ht="15.75" customHeight="1" x14ac:dyDescent="0.25">
      <c r="A16" s="3" t="s">
        <v>64</v>
      </c>
      <c r="B16" s="3" t="s">
        <v>65</v>
      </c>
      <c r="C16" s="3" t="s">
        <v>66</v>
      </c>
      <c r="D16" s="7">
        <v>700</v>
      </c>
      <c r="E16" s="3">
        <v>50</v>
      </c>
      <c r="F16" s="11" t="s">
        <v>9</v>
      </c>
      <c r="G16" s="18" t="str">
        <f>IF(D16&gt;=500,"High Price","Standard Price")</f>
        <v>High Price</v>
      </c>
      <c r="H16" s="8" t="str">
        <f>LEFT(Table2[[#This Row],[Product ID]],2)</f>
        <v>14</v>
      </c>
      <c r="I16" s="8" t="str">
        <f>RIGHT(Table2[[#This Row],[Product ID]],2)</f>
        <v>RU</v>
      </c>
      <c r="J16" s="8" t="str">
        <f>MID(Table2[[#This Row],[Product ID]],4,3)</f>
        <v>MAY</v>
      </c>
    </row>
    <row r="17" spans="1:10" ht="15.75" customHeight="1" x14ac:dyDescent="0.25">
      <c r="A17" s="4" t="s">
        <v>18</v>
      </c>
      <c r="B17" s="4" t="s">
        <v>19</v>
      </c>
      <c r="C17" s="4" t="s">
        <v>20</v>
      </c>
      <c r="D17" s="8">
        <v>900</v>
      </c>
      <c r="E17" s="4">
        <v>25</v>
      </c>
      <c r="F17" s="12" t="s">
        <v>9</v>
      </c>
      <c r="G17" s="18" t="str">
        <f>IF(D17&gt;=500,"High Price","Standard Price")</f>
        <v>High Price</v>
      </c>
      <c r="H17" s="8" t="str">
        <f>LEFT(Table2[[#This Row],[Product ID]],2)</f>
        <v>11</v>
      </c>
      <c r="I17" s="8" t="str">
        <f>RIGHT(Table2[[#This Row],[Product ID]],2)</f>
        <v>US</v>
      </c>
      <c r="J17" s="8" t="str">
        <f>MID(Table2[[#This Row],[Product ID]],4,3)</f>
        <v>APR</v>
      </c>
    </row>
    <row r="18" spans="1:10" ht="15.75" customHeight="1" x14ac:dyDescent="0.25">
      <c r="A18" s="4" t="s">
        <v>25</v>
      </c>
      <c r="B18" s="4" t="s">
        <v>26</v>
      </c>
      <c r="C18" s="4" t="s">
        <v>27</v>
      </c>
      <c r="D18" s="8">
        <v>200</v>
      </c>
      <c r="E18" s="4">
        <v>45</v>
      </c>
      <c r="F18" s="12" t="s">
        <v>9</v>
      </c>
      <c r="G18" s="18" t="str">
        <f>IF(D18&gt;=500,"High Price","Standard Price")</f>
        <v>Standard Price</v>
      </c>
      <c r="H18" s="8" t="str">
        <f>LEFT(Table2[[#This Row],[Product ID]],2)</f>
        <v>07</v>
      </c>
      <c r="I18" s="8" t="str">
        <f>RIGHT(Table2[[#This Row],[Product ID]],2)</f>
        <v>UK</v>
      </c>
      <c r="J18" s="8" t="str">
        <f>MID(Table2[[#This Row],[Product ID]],4,3)</f>
        <v>JUN</v>
      </c>
    </row>
    <row r="19" spans="1:10" ht="15.75" customHeight="1" x14ac:dyDescent="0.25">
      <c r="A19" s="3" t="s">
        <v>70</v>
      </c>
      <c r="B19" s="3" t="s">
        <v>71</v>
      </c>
      <c r="C19" s="3" t="s">
        <v>72</v>
      </c>
      <c r="D19" s="7">
        <v>150</v>
      </c>
      <c r="E19" s="3">
        <v>30</v>
      </c>
      <c r="F19" s="11" t="s">
        <v>9</v>
      </c>
      <c r="G19" s="18" t="str">
        <f>IF(D19&gt;=500,"High Price","Standard Price")</f>
        <v>Standard Price</v>
      </c>
      <c r="H19" s="8" t="str">
        <f>LEFT(Table2[[#This Row],[Product ID]],2)</f>
        <v>19</v>
      </c>
      <c r="I19" s="8" t="str">
        <f>RIGHT(Table2[[#This Row],[Product ID]],2)</f>
        <v>BR</v>
      </c>
      <c r="J19" s="8" t="str">
        <f>MID(Table2[[#This Row],[Product ID]],4,3)</f>
        <v>JUL</v>
      </c>
    </row>
    <row r="20" spans="1:10" ht="15.75" customHeight="1" x14ac:dyDescent="0.25">
      <c r="A20" s="3" t="s">
        <v>28</v>
      </c>
      <c r="B20" s="3" t="s">
        <v>29</v>
      </c>
      <c r="C20" s="3" t="s">
        <v>30</v>
      </c>
      <c r="D20" s="7">
        <v>30</v>
      </c>
      <c r="E20" s="3">
        <v>5</v>
      </c>
      <c r="F20" s="11" t="s">
        <v>13</v>
      </c>
      <c r="G20" s="18" t="str">
        <f>IF(D20&gt;=500,"High Price","Standard Price")</f>
        <v>Standard Price</v>
      </c>
      <c r="H20" s="8" t="str">
        <f>LEFT(Table2[[#This Row],[Product ID]],2)</f>
        <v>19</v>
      </c>
      <c r="I20" s="8" t="str">
        <f>RIGHT(Table2[[#This Row],[Product ID]],2)</f>
        <v>UK</v>
      </c>
      <c r="J20" s="8" t="str">
        <f>MID(Table2[[#This Row],[Product ID]],4,3)</f>
        <v>JUL</v>
      </c>
    </row>
    <row r="21" spans="1:10" ht="15.75" customHeight="1" x14ac:dyDescent="0.25">
      <c r="A21" s="4" t="s">
        <v>42</v>
      </c>
      <c r="B21" s="4" t="s">
        <v>11</v>
      </c>
      <c r="C21" s="4" t="s">
        <v>30</v>
      </c>
      <c r="D21" s="8">
        <v>90</v>
      </c>
      <c r="E21" s="4">
        <v>40</v>
      </c>
      <c r="F21" s="12" t="s">
        <v>13</v>
      </c>
      <c r="G21" s="18" t="str">
        <f>IF(D21&gt;=500,"High Price","Standard Price")</f>
        <v>Standard Price</v>
      </c>
      <c r="H21" s="8" t="str">
        <f>LEFT(Table2[[#This Row],[Product ID]],2)</f>
        <v>25</v>
      </c>
      <c r="I21" s="8" t="str">
        <f>RIGHT(Table2[[#This Row],[Product ID]],2)</f>
        <v>AU</v>
      </c>
      <c r="J21" s="8" t="str">
        <f>MID(Table2[[#This Row],[Product ID]],4,3)</f>
        <v>NOV</v>
      </c>
    </row>
    <row r="22" spans="1:10" ht="15.75" customHeight="1" x14ac:dyDescent="0.25">
      <c r="A22" s="4" t="s">
        <v>87</v>
      </c>
      <c r="B22" s="4" t="s">
        <v>88</v>
      </c>
      <c r="C22" s="4" t="s">
        <v>89</v>
      </c>
      <c r="D22" s="8">
        <v>50</v>
      </c>
      <c r="E22" s="4">
        <v>50</v>
      </c>
      <c r="F22" s="12" t="s">
        <v>13</v>
      </c>
      <c r="G22" s="18" t="str">
        <f>IF(D22&gt;=500,"High Price","Standard Price")</f>
        <v>Standard Price</v>
      </c>
      <c r="H22" s="8" t="str">
        <f>LEFT(Table2[[#This Row],[Product ID]],2)</f>
        <v>02</v>
      </c>
      <c r="I22" s="8" t="str">
        <f>RIGHT(Table2[[#This Row],[Product ID]],2)</f>
        <v>CA</v>
      </c>
      <c r="J22" s="8" t="str">
        <f>MID(Table2[[#This Row],[Product ID]],4,3)</f>
        <v>DEC</v>
      </c>
    </row>
    <row r="23" spans="1:10" ht="15.75" customHeight="1" x14ac:dyDescent="0.25">
      <c r="A23" s="4" t="s">
        <v>10</v>
      </c>
      <c r="B23" s="4" t="s">
        <v>11</v>
      </c>
      <c r="C23" s="4" t="s">
        <v>12</v>
      </c>
      <c r="D23" s="8">
        <v>80</v>
      </c>
      <c r="E23" s="4">
        <v>15</v>
      </c>
      <c r="F23" s="12" t="s">
        <v>13</v>
      </c>
      <c r="G23" s="18" t="str">
        <f>IF(D23&gt;=500,"High Price","Standard Price")</f>
        <v>Standard Price</v>
      </c>
      <c r="H23" s="8" t="str">
        <f>LEFT(Table2[[#This Row],[Product ID]],2)</f>
        <v>15</v>
      </c>
      <c r="I23" s="8" t="str">
        <f>RIGHT(Table2[[#This Row],[Product ID]],2)</f>
        <v>US</v>
      </c>
      <c r="J23" s="8" t="str">
        <f>MID(Table2[[#This Row],[Product ID]],4,3)</f>
        <v>FEB</v>
      </c>
    </row>
    <row r="24" spans="1:10" ht="15.75" customHeight="1" x14ac:dyDescent="0.25">
      <c r="A24" s="3" t="s">
        <v>58</v>
      </c>
      <c r="B24" s="3" t="s">
        <v>59</v>
      </c>
      <c r="C24" s="3" t="s">
        <v>60</v>
      </c>
      <c r="D24" s="7">
        <v>150</v>
      </c>
      <c r="E24" s="3">
        <v>15</v>
      </c>
      <c r="F24" s="11" t="s">
        <v>13</v>
      </c>
      <c r="G24" s="18" t="str">
        <f>IF(D24&gt;=500,"High Price","Standard Price")</f>
        <v>Standard Price</v>
      </c>
      <c r="H24" s="8" t="str">
        <f>LEFT(Table2[[#This Row],[Product ID]],2)</f>
        <v>01</v>
      </c>
      <c r="I24" s="8" t="str">
        <f>RIGHT(Table2[[#This Row],[Product ID]],2)</f>
        <v>UK</v>
      </c>
      <c r="J24" s="8" t="str">
        <f>MID(Table2[[#This Row],[Product ID]],4,3)</f>
        <v>MAR</v>
      </c>
    </row>
    <row r="25" spans="1:10" ht="15.75" customHeight="1" x14ac:dyDescent="0.25">
      <c r="A25" s="4" t="s">
        <v>75</v>
      </c>
      <c r="B25" s="4" t="s">
        <v>59</v>
      </c>
      <c r="C25" s="4" t="s">
        <v>76</v>
      </c>
      <c r="D25" s="8">
        <v>130</v>
      </c>
      <c r="E25" s="4">
        <v>25</v>
      </c>
      <c r="F25" s="12" t="s">
        <v>13</v>
      </c>
      <c r="G25" s="18" t="str">
        <f>IF(D25&gt;=500,"High Price","Standard Price")</f>
        <v>Standard Price</v>
      </c>
      <c r="H25" s="8" t="str">
        <f>LEFT(Table2[[#This Row],[Product ID]],2)</f>
        <v>03</v>
      </c>
      <c r="I25" s="8" t="str">
        <f>RIGHT(Table2[[#This Row],[Product ID]],2)</f>
        <v>CA</v>
      </c>
      <c r="J25" s="8" t="str">
        <f>MID(Table2[[#This Row],[Product ID]],4,3)</f>
        <v>JUN</v>
      </c>
    </row>
    <row r="26" spans="1:10" ht="15.75" customHeight="1" x14ac:dyDescent="0.25">
      <c r="A26" s="3" t="s">
        <v>79</v>
      </c>
      <c r="B26" s="3" t="s">
        <v>80</v>
      </c>
      <c r="C26" s="3" t="s">
        <v>81</v>
      </c>
      <c r="D26" s="7">
        <v>60</v>
      </c>
      <c r="E26" s="3">
        <v>30</v>
      </c>
      <c r="F26" s="11" t="s">
        <v>13</v>
      </c>
      <c r="G26" s="18" t="str">
        <f>IF(D26&gt;=500,"High Price","Standard Price")</f>
        <v>Standard Price</v>
      </c>
      <c r="H26" s="8" t="str">
        <f>LEFT(Table2[[#This Row],[Product ID]],2)</f>
        <v>07</v>
      </c>
      <c r="I26" s="8" t="str">
        <f>RIGHT(Table2[[#This Row],[Product ID]],2)</f>
        <v>CA</v>
      </c>
      <c r="J26" s="8" t="str">
        <f>MID(Table2[[#This Row],[Product ID]],4,3)</f>
        <v>MAR</v>
      </c>
    </row>
    <row r="27" spans="1:10" ht="15.75" customHeight="1" x14ac:dyDescent="0.25">
      <c r="A27" s="4" t="s">
        <v>82</v>
      </c>
      <c r="B27" s="4" t="s">
        <v>83</v>
      </c>
      <c r="C27" s="4" t="s">
        <v>84</v>
      </c>
      <c r="D27" s="8">
        <v>40</v>
      </c>
      <c r="E27" s="4">
        <v>10</v>
      </c>
      <c r="F27" s="12" t="s">
        <v>17</v>
      </c>
      <c r="G27" s="18" t="str">
        <f>IF(D27&gt;=500,"High Price","Standard Price")</f>
        <v>Standard Price</v>
      </c>
      <c r="H27" s="8" t="str">
        <f>LEFT(Table2[[#This Row],[Product ID]],2)</f>
        <v>13</v>
      </c>
      <c r="I27" s="8" t="str">
        <f>RIGHT(Table2[[#This Row],[Product ID]],2)</f>
        <v>CA</v>
      </c>
      <c r="J27" s="8" t="str">
        <f>MID(Table2[[#This Row],[Product ID]],4,3)</f>
        <v>APR</v>
      </c>
    </row>
    <row r="28" spans="1:10" ht="15.75" customHeight="1" x14ac:dyDescent="0.25">
      <c r="A28" s="3" t="s">
        <v>14</v>
      </c>
      <c r="B28" s="3" t="s">
        <v>15</v>
      </c>
      <c r="C28" s="3" t="s">
        <v>16</v>
      </c>
      <c r="D28" s="7">
        <v>130</v>
      </c>
      <c r="E28" s="3">
        <v>40</v>
      </c>
      <c r="F28" s="11" t="s">
        <v>17</v>
      </c>
      <c r="G28" s="18" t="str">
        <f>IF(D28&gt;=500,"High Price","Standard Price")</f>
        <v>Standard Price</v>
      </c>
      <c r="H28" s="8" t="str">
        <f>LEFT(Table2[[#This Row],[Product ID]],2)</f>
        <v>03</v>
      </c>
      <c r="I28" s="8" t="str">
        <f>RIGHT(Table2[[#This Row],[Product ID]],2)</f>
        <v>US</v>
      </c>
      <c r="J28" s="8" t="str">
        <f>MID(Table2[[#This Row],[Product ID]],4,3)</f>
        <v>MAR</v>
      </c>
    </row>
    <row r="29" spans="1:10" ht="15.75" customHeight="1" x14ac:dyDescent="0.25">
      <c r="A29" s="3" t="s">
        <v>43</v>
      </c>
      <c r="B29" s="3" t="s">
        <v>15</v>
      </c>
      <c r="C29" s="3" t="s">
        <v>44</v>
      </c>
      <c r="D29" s="7">
        <v>120</v>
      </c>
      <c r="E29" s="3">
        <v>35</v>
      </c>
      <c r="F29" s="11" t="s">
        <v>17</v>
      </c>
      <c r="G29" s="18" t="str">
        <f>IF(D29&gt;=500,"High Price","Standard Price")</f>
        <v>Standard Price</v>
      </c>
      <c r="H29" s="8" t="str">
        <f>LEFT(Table2[[#This Row],[Product ID]],2)</f>
        <v>08</v>
      </c>
      <c r="I29" s="8" t="str">
        <f>RIGHT(Table2[[#This Row],[Product ID]],2)</f>
        <v>DE</v>
      </c>
      <c r="J29" s="8" t="str">
        <f>MID(Table2[[#This Row],[Product ID]],4,3)</f>
        <v>DEC</v>
      </c>
    </row>
    <row r="30" spans="1:10" ht="15.75" customHeight="1" x14ac:dyDescent="0.25">
      <c r="A30" s="4" t="s">
        <v>31</v>
      </c>
      <c r="B30" s="4" t="s">
        <v>32</v>
      </c>
      <c r="C30" s="4" t="s">
        <v>33</v>
      </c>
      <c r="D30" s="8">
        <v>90</v>
      </c>
      <c r="E30" s="4">
        <v>35</v>
      </c>
      <c r="F30" s="12" t="s">
        <v>17</v>
      </c>
      <c r="G30" s="18" t="str">
        <f>IF(D30&gt;=500,"High Price","Standard Price")</f>
        <v>Standard Price</v>
      </c>
      <c r="H30" s="8" t="str">
        <f>LEFT(Table2[[#This Row],[Product ID]],2)</f>
        <v>23</v>
      </c>
      <c r="I30" s="8" t="str">
        <f>RIGHT(Table2[[#This Row],[Product ID]],2)</f>
        <v>UK</v>
      </c>
      <c r="J30" s="8" t="str">
        <f>MID(Table2[[#This Row],[Product ID]],4,3)</f>
        <v>AUG</v>
      </c>
    </row>
    <row r="31" spans="1:10" ht="15.75" customHeight="1" x14ac:dyDescent="0.25">
      <c r="A31" s="4" t="s">
        <v>67</v>
      </c>
      <c r="B31" s="4" t="s">
        <v>68</v>
      </c>
      <c r="C31" s="4" t="s">
        <v>69</v>
      </c>
      <c r="D31" s="8">
        <v>80</v>
      </c>
      <c r="E31" s="4">
        <v>20</v>
      </c>
      <c r="F31" s="12" t="s">
        <v>17</v>
      </c>
      <c r="G31" s="18" t="str">
        <f>IF(D31&gt;=500,"High Price","Standard Price")</f>
        <v>Standard Price</v>
      </c>
      <c r="H31" s="8" t="str">
        <f>LEFT(Table2[[#This Row],[Product ID]],2)</f>
        <v>09</v>
      </c>
      <c r="I31" s="8" t="str">
        <f>RIGHT(Table2[[#This Row],[Product ID]],2)</f>
        <v>CA</v>
      </c>
      <c r="J31" s="8" t="str">
        <f>MID(Table2[[#This Row],[Product ID]],4,3)</f>
        <v>JAN</v>
      </c>
    </row>
    <row r="32" spans="1:10" ht="15.75" customHeight="1" x14ac:dyDescent="0.25">
      <c r="A32" s="3" t="s">
        <v>77</v>
      </c>
      <c r="B32" s="3" t="s">
        <v>32</v>
      </c>
      <c r="C32" s="3" t="s">
        <v>78</v>
      </c>
      <c r="D32" s="7">
        <v>400</v>
      </c>
      <c r="E32" s="3">
        <v>40</v>
      </c>
      <c r="F32" s="11" t="s">
        <v>17</v>
      </c>
      <c r="G32" s="18" t="str">
        <f>IF(D32&gt;=500,"High Price","Standard Price")</f>
        <v>Standard Price</v>
      </c>
      <c r="H32" s="8" t="str">
        <f>LEFT(Table2[[#This Row],[Product ID]],2)</f>
        <v>11</v>
      </c>
      <c r="I32" s="8" t="str">
        <f>RIGHT(Table2[[#This Row],[Product ID]],2)</f>
        <v>CA</v>
      </c>
      <c r="J32" s="8" t="str">
        <f>MID(Table2[[#This Row],[Product ID]],4,3)</f>
        <v>JUL</v>
      </c>
    </row>
    <row r="33" spans="1:13" ht="15.75" customHeight="1" x14ac:dyDescent="0.25">
      <c r="A33" s="4" t="s">
        <v>61</v>
      </c>
      <c r="B33" s="4" t="s">
        <v>62</v>
      </c>
      <c r="C33" s="4" t="s">
        <v>63</v>
      </c>
      <c r="D33" s="8">
        <v>200</v>
      </c>
      <c r="E33" s="4">
        <v>10</v>
      </c>
      <c r="F33" s="12" t="s">
        <v>24</v>
      </c>
      <c r="G33" s="18" t="str">
        <f>IF(D33&gt;=500,"High Price","Standard Price")</f>
        <v>Standard Price</v>
      </c>
      <c r="H33" s="8" t="str">
        <f>LEFT(Table2[[#This Row],[Product ID]],2)</f>
        <v>14</v>
      </c>
      <c r="I33" s="8" t="str">
        <f>RIGHT(Table2[[#This Row],[Product ID]],2)</f>
        <v>US</v>
      </c>
      <c r="J33" s="8" t="str">
        <f>MID(Table2[[#This Row],[Product ID]],4,3)</f>
        <v>AUG</v>
      </c>
    </row>
    <row r="34" spans="1:13" ht="15.75" customHeight="1" x14ac:dyDescent="0.25">
      <c r="A34" s="3" t="s">
        <v>21</v>
      </c>
      <c r="B34" s="3" t="s">
        <v>22</v>
      </c>
      <c r="C34" s="3" t="s">
        <v>23</v>
      </c>
      <c r="D34" s="7">
        <v>70</v>
      </c>
      <c r="E34" s="3">
        <v>20</v>
      </c>
      <c r="F34" s="11" t="s">
        <v>24</v>
      </c>
      <c r="G34" s="18" t="str">
        <f>IF(D34&gt;=500,"High Price","Standard Price")</f>
        <v>Standard Price</v>
      </c>
      <c r="H34" s="8" t="str">
        <f>LEFT(Table2[[#This Row],[Product ID]],2)</f>
        <v>22</v>
      </c>
      <c r="I34" s="8" t="str">
        <f>RIGHT(Table2[[#This Row],[Product ID]],2)</f>
        <v>US</v>
      </c>
      <c r="J34" s="8" t="str">
        <f>MID(Table2[[#This Row],[Product ID]],4,3)</f>
        <v>MAY</v>
      </c>
    </row>
    <row r="35" spans="1:13" ht="15.75" customHeight="1" x14ac:dyDescent="0.25">
      <c r="A35" s="4" t="s">
        <v>37</v>
      </c>
      <c r="B35" s="4" t="s">
        <v>38</v>
      </c>
      <c r="C35" s="4" t="s">
        <v>39</v>
      </c>
      <c r="D35" s="8">
        <v>130</v>
      </c>
      <c r="E35" s="4">
        <v>10</v>
      </c>
      <c r="F35" s="12" t="s">
        <v>24</v>
      </c>
      <c r="G35" s="18" t="str">
        <f>IF(D35&gt;=500,"High Price","Standard Price")</f>
        <v>Standard Price</v>
      </c>
      <c r="H35" s="8" t="str">
        <f>LEFT(Table2[[#This Row],[Product ID]],2)</f>
        <v>14</v>
      </c>
      <c r="I35" s="8" t="str">
        <f>RIGHT(Table2[[#This Row],[Product ID]],2)</f>
        <v>UK</v>
      </c>
      <c r="J35" s="8" t="str">
        <f>MID(Table2[[#This Row],[Product ID]],4,3)</f>
        <v>OCT</v>
      </c>
    </row>
    <row r="36" spans="1:13" ht="15.75" customHeight="1" x14ac:dyDescent="0.25">
      <c r="A36" s="16"/>
      <c r="B36" s="16"/>
      <c r="C36" s="16"/>
      <c r="D36" s="17"/>
      <c r="E36" s="16"/>
      <c r="F36" s="18"/>
    </row>
    <row r="37" spans="1:13" ht="15.75" customHeight="1" x14ac:dyDescent="0.25"/>
    <row r="38" spans="1:13" ht="15.75" customHeight="1" x14ac:dyDescent="0.25">
      <c r="L38" s="23" t="s">
        <v>99</v>
      </c>
      <c r="M38" s="14">
        <f>SUMIF(Table2[Category],"Electronics",Table2[Price ($)])</f>
        <v>8050</v>
      </c>
    </row>
    <row r="39" spans="1:13" ht="15.75" customHeight="1" x14ac:dyDescent="0.25"/>
    <row r="40" spans="1:13" ht="15.75" customHeight="1" x14ac:dyDescent="0.25">
      <c r="C40" s="15" t="s">
        <v>93</v>
      </c>
      <c r="D40" s="15">
        <f>SUM(Table2[Price ($)])</f>
        <v>10100</v>
      </c>
      <c r="L40" s="23" t="s">
        <v>103</v>
      </c>
      <c r="M40" s="14">
        <f>COUNTIF(Table2[Price ($)],"&lt;100")</f>
        <v>11</v>
      </c>
    </row>
    <row r="41" spans="1:13" ht="15.75" customHeight="1" x14ac:dyDescent="0.25">
      <c r="D41" s="15"/>
    </row>
    <row r="42" spans="1:13" ht="15.75" customHeight="1" x14ac:dyDescent="0.25">
      <c r="C42" s="15" t="s">
        <v>94</v>
      </c>
      <c r="D42" s="15">
        <f>COUNT(D2:D35)</f>
        <v>34</v>
      </c>
    </row>
    <row r="43" spans="1:13" ht="15.75" customHeight="1" x14ac:dyDescent="0.25"/>
    <row r="44" spans="1:13" ht="15.75" customHeight="1" x14ac:dyDescent="0.25">
      <c r="C44" s="15" t="s">
        <v>95</v>
      </c>
      <c r="D44" s="19">
        <f>AVERAGE(D2:D35)</f>
        <v>297.05882352941177</v>
      </c>
    </row>
    <row r="45" spans="1:13" ht="15.75" customHeight="1" x14ac:dyDescent="0.25"/>
    <row r="46" spans="1:13" ht="15.75" customHeight="1" x14ac:dyDescent="0.25">
      <c r="C46" s="15" t="s">
        <v>96</v>
      </c>
      <c r="D46" s="15">
        <f>MIN(Table2[Price ($)])</f>
        <v>30</v>
      </c>
    </row>
    <row r="47" spans="1:13" ht="15.75" customHeight="1" x14ac:dyDescent="0.25"/>
    <row r="48" spans="1:13" ht="15.75" customHeight="1" x14ac:dyDescent="0.25">
      <c r="C48" s="15" t="s">
        <v>97</v>
      </c>
      <c r="D48" s="15">
        <f>MAX(Table2[Price ($)])</f>
        <v>1000</v>
      </c>
    </row>
    <row r="49" spans="5:5" ht="15.75" customHeight="1" x14ac:dyDescent="0.25"/>
    <row r="50" spans="5:5" ht="15.75" customHeight="1" x14ac:dyDescent="0.25"/>
    <row r="51" spans="5:5" ht="15.75" customHeight="1" x14ac:dyDescent="0.25">
      <c r="E51" s="21"/>
    </row>
    <row r="52" spans="5:5" ht="15.75" customHeight="1" x14ac:dyDescent="0.25"/>
    <row r="53" spans="5:5" ht="15.75" customHeight="1" x14ac:dyDescent="0.25"/>
    <row r="54" spans="5:5" ht="15.75" customHeight="1" x14ac:dyDescent="0.25"/>
    <row r="55" spans="5:5" ht="15.75" customHeight="1" x14ac:dyDescent="0.25"/>
    <row r="56" spans="5:5" ht="15.75" customHeight="1" x14ac:dyDescent="0.25"/>
    <row r="57" spans="5:5" ht="15.75" customHeight="1" x14ac:dyDescent="0.25"/>
    <row r="58" spans="5:5" ht="15.75" customHeight="1" x14ac:dyDescent="0.25"/>
    <row r="59" spans="5:5" ht="15.75" customHeight="1" x14ac:dyDescent="0.25"/>
    <row r="60" spans="5:5" ht="15.75" customHeight="1" x14ac:dyDescent="0.25"/>
    <row r="61" spans="5:5" ht="15.75" customHeight="1" x14ac:dyDescent="0.25"/>
    <row r="62" spans="5:5" ht="15.75" customHeight="1" x14ac:dyDescent="0.25"/>
    <row r="63" spans="5:5" ht="15.75" customHeight="1" x14ac:dyDescent="0.25"/>
    <row r="64" spans="5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ED2B-ACAF-47D3-87D7-9C541A5622C9}">
  <dimension ref="A1:A10"/>
  <sheetViews>
    <sheetView workbookViewId="0">
      <selection activeCell="A12" sqref="A12"/>
    </sheetView>
  </sheetViews>
  <sheetFormatPr defaultRowHeight="17.399999999999999" x14ac:dyDescent="0.3"/>
  <cols>
    <col min="1" max="1" width="102.109375" style="25" customWidth="1"/>
  </cols>
  <sheetData>
    <row r="1" spans="1:1" ht="34.799999999999997" x14ac:dyDescent="0.25">
      <c r="A1" s="24" t="s">
        <v>105</v>
      </c>
    </row>
    <row r="2" spans="1:1" ht="34.799999999999997" x14ac:dyDescent="0.25">
      <c r="A2" s="24" t="s">
        <v>106</v>
      </c>
    </row>
    <row r="3" spans="1:1" ht="29.4" customHeight="1" x14ac:dyDescent="0.25">
      <c r="A3" s="24" t="s">
        <v>107</v>
      </c>
    </row>
    <row r="4" spans="1:1" x14ac:dyDescent="0.25">
      <c r="A4" s="24" t="s">
        <v>108</v>
      </c>
    </row>
    <row r="5" spans="1:1" ht="34.799999999999997" x14ac:dyDescent="0.25">
      <c r="A5" s="24" t="s">
        <v>109</v>
      </c>
    </row>
    <row r="6" spans="1:1" ht="34.799999999999997" x14ac:dyDescent="0.25">
      <c r="A6" s="24" t="s">
        <v>110</v>
      </c>
    </row>
    <row r="7" spans="1:1" ht="34.799999999999997" x14ac:dyDescent="0.25">
      <c r="A7" s="24" t="s">
        <v>111</v>
      </c>
    </row>
    <row r="8" spans="1:1" ht="34.799999999999997" x14ac:dyDescent="0.25">
      <c r="A8" s="24" t="s">
        <v>112</v>
      </c>
    </row>
    <row r="9" spans="1:1" ht="34.799999999999997" x14ac:dyDescent="0.25">
      <c r="A9" s="24" t="s">
        <v>113</v>
      </c>
    </row>
    <row r="10" spans="1:1" ht="29.4" customHeight="1" x14ac:dyDescent="0.25">
      <c r="A10" s="24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F35" sqref="F35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E581C8-77E7-4EBA-8933-D1C5744108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Assignment - 1</vt:lpstr>
      <vt:lpstr>Observation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KARTHIKEYAN MALAIRAJAN</cp:lastModifiedBy>
  <dcterms:modified xsi:type="dcterms:W3CDTF">2026-06-26T07:18:47Z</dcterms:modified>
</cp:coreProperties>
</file>